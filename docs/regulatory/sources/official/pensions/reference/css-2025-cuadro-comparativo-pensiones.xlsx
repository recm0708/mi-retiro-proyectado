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ygarcia\Desktop\"/>
    </mc:Choice>
  </mc:AlternateContent>
  <xr:revisionPtr revIDLastSave="0" documentId="8_{3D4C03E4-DD36-456D-AFBB-E2171FF7BC72}" xr6:coauthVersionLast="47" xr6:coauthVersionMax="47" xr10:uidLastSave="{00000000-0000-0000-0000-000000000000}"/>
  <bookViews>
    <workbookView xWindow="-28920" yWindow="-120" windowWidth="29040" windowHeight="15720" tabRatio="830" firstSheet="1" activeTab="1" xr2:uid="{00000000-000D-0000-FFFF-FFFF00000000}"/>
  </bookViews>
  <sheets>
    <sheet name="DAMASO" sheetId="36" state="hidden" r:id="rId1"/>
    <sheet name="salidaformulas" sheetId="54" r:id="rId2"/>
    <sheet name="calculo 20" sheetId="47" r:id="rId3"/>
    <sheet name="calculo 25" sheetId="49" r:id="rId4"/>
    <sheet name="calculo 30" sheetId="50" r:id="rId5"/>
    <sheet name="CALCULO 35" sheetId="52" r:id="rId6"/>
    <sheet name="CALCULO 40" sheetId="53" r:id="rId7"/>
    <sheet name="descuento" sheetId="15" r:id="rId8"/>
    <sheet name="bases renta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54" l="1"/>
  <c r="X12" i="54"/>
  <c r="X13" i="54"/>
  <c r="X14" i="54"/>
  <c r="X10" i="54"/>
  <c r="W11" i="54"/>
  <c r="W12" i="54"/>
  <c r="W13" i="54"/>
  <c r="W14" i="54"/>
  <c r="W10" i="54"/>
  <c r="F19" i="53"/>
  <c r="F6" i="53"/>
  <c r="F4" i="53"/>
  <c r="F5" i="53" s="1"/>
  <c r="F3" i="53"/>
  <c r="F19" i="52"/>
  <c r="F6" i="52"/>
  <c r="F4" i="52"/>
  <c r="C28" i="52" s="1"/>
  <c r="F3" i="52"/>
  <c r="F19" i="50"/>
  <c r="F6" i="50"/>
  <c r="F4" i="50"/>
  <c r="F3" i="50"/>
  <c r="F19" i="49"/>
  <c r="F6" i="49"/>
  <c r="F4" i="49"/>
  <c r="F3" i="49"/>
  <c r="F6" i="47"/>
  <c r="F3" i="47"/>
  <c r="F4" i="47"/>
  <c r="F19" i="47"/>
  <c r="G10" i="54"/>
  <c r="L10" i="54" s="1"/>
  <c r="F10" i="54"/>
  <c r="I10" i="54" s="1"/>
  <c r="B5" i="54"/>
  <c r="C10" i="54" s="1"/>
  <c r="C11" i="54" s="1"/>
  <c r="C12" i="54" s="1"/>
  <c r="C13" i="54" s="1"/>
  <c r="B93" i="53"/>
  <c r="AZ76" i="53"/>
  <c r="AY76" i="53"/>
  <c r="AO76" i="53"/>
  <c r="AN76" i="53"/>
  <c r="AZ75" i="53"/>
  <c r="AY75" i="53"/>
  <c r="AO75" i="53"/>
  <c r="AN75" i="53"/>
  <c r="AZ74" i="53"/>
  <c r="AY74" i="53"/>
  <c r="AO74" i="53"/>
  <c r="AN74" i="53"/>
  <c r="AZ73" i="53"/>
  <c r="AY73" i="53"/>
  <c r="AO73" i="53"/>
  <c r="AN73" i="53"/>
  <c r="AZ72" i="53"/>
  <c r="AY72" i="53"/>
  <c r="AO72" i="53"/>
  <c r="AN72" i="53"/>
  <c r="AZ71" i="53"/>
  <c r="AY71" i="53"/>
  <c r="AO71" i="53"/>
  <c r="AN71" i="53"/>
  <c r="AZ70" i="53"/>
  <c r="AY70" i="53"/>
  <c r="AO70" i="53"/>
  <c r="AN70" i="53"/>
  <c r="AZ69" i="53"/>
  <c r="AY69" i="53"/>
  <c r="AO69" i="53"/>
  <c r="AN69" i="53"/>
  <c r="AZ68" i="53"/>
  <c r="AY68" i="53"/>
  <c r="AO68" i="53"/>
  <c r="AN68" i="53"/>
  <c r="AZ67" i="53"/>
  <c r="AY67" i="53"/>
  <c r="AO67" i="53"/>
  <c r="AN67" i="53"/>
  <c r="AZ66" i="53"/>
  <c r="AY66" i="53"/>
  <c r="AO66" i="53"/>
  <c r="AN66" i="53"/>
  <c r="AZ65" i="53"/>
  <c r="AY65" i="53"/>
  <c r="AZ64" i="53"/>
  <c r="AY64" i="53"/>
  <c r="AZ63" i="53"/>
  <c r="AY63" i="53"/>
  <c r="AZ62" i="53"/>
  <c r="AY62" i="53"/>
  <c r="AZ61" i="53"/>
  <c r="AY61" i="53"/>
  <c r="AZ60" i="53"/>
  <c r="AY60" i="53"/>
  <c r="AZ59" i="53"/>
  <c r="AY59" i="53"/>
  <c r="AZ58" i="53"/>
  <c r="AY58" i="53"/>
  <c r="AZ57" i="53"/>
  <c r="AY57" i="53"/>
  <c r="AZ56" i="53"/>
  <c r="AY56" i="53"/>
  <c r="AZ55" i="53"/>
  <c r="AY55" i="53"/>
  <c r="AZ54" i="53"/>
  <c r="AY54" i="53"/>
  <c r="AZ53" i="53"/>
  <c r="AY53" i="53"/>
  <c r="AZ52" i="53"/>
  <c r="AY52" i="53"/>
  <c r="AZ51" i="53"/>
  <c r="AY51" i="53"/>
  <c r="AZ50" i="53"/>
  <c r="AY50" i="53"/>
  <c r="AZ49" i="53"/>
  <c r="AY49" i="53"/>
  <c r="D49" i="53"/>
  <c r="D50" i="53" s="1"/>
  <c r="D51" i="53" s="1"/>
  <c r="D52" i="53" s="1"/>
  <c r="D53" i="53" s="1"/>
  <c r="D54" i="53" s="1"/>
  <c r="D55" i="53" s="1"/>
  <c r="D56" i="53" s="1"/>
  <c r="D57" i="53" s="1"/>
  <c r="D58" i="53" s="1"/>
  <c r="D59" i="53" s="1"/>
  <c r="D60" i="53" s="1"/>
  <c r="D61" i="53" s="1"/>
  <c r="D62" i="53" s="1"/>
  <c r="D63" i="53" s="1"/>
  <c r="D64" i="53" s="1"/>
  <c r="D65" i="53" s="1"/>
  <c r="D66" i="53" s="1"/>
  <c r="D67" i="53" s="1"/>
  <c r="D68" i="53" s="1"/>
  <c r="D69" i="53" s="1"/>
  <c r="D70" i="53" s="1"/>
  <c r="D71" i="53" s="1"/>
  <c r="D72" i="53" s="1"/>
  <c r="D73" i="53" s="1"/>
  <c r="D74" i="53" s="1"/>
  <c r="D75" i="53" s="1"/>
  <c r="D76" i="53" s="1"/>
  <c r="AZ48" i="53"/>
  <c r="AY48" i="53"/>
  <c r="D48" i="53"/>
  <c r="AZ47" i="53"/>
  <c r="AY47" i="53"/>
  <c r="AZ46" i="53"/>
  <c r="AY46" i="53"/>
  <c r="AZ45" i="53"/>
  <c r="AY45" i="53"/>
  <c r="AZ44" i="53"/>
  <c r="AY44" i="53"/>
  <c r="AZ43" i="53"/>
  <c r="AY43" i="53"/>
  <c r="AZ42" i="53"/>
  <c r="AY42" i="53"/>
  <c r="AZ41" i="53"/>
  <c r="AY41" i="53"/>
  <c r="AZ40" i="53"/>
  <c r="AY40" i="53"/>
  <c r="AZ39" i="53"/>
  <c r="AY39" i="53"/>
  <c r="AZ38" i="53"/>
  <c r="AY38" i="53"/>
  <c r="AZ37" i="53"/>
  <c r="AY37" i="53"/>
  <c r="AZ36" i="53"/>
  <c r="AY36" i="53"/>
  <c r="D36" i="53"/>
  <c r="D37" i="53" s="1"/>
  <c r="D38" i="53" s="1"/>
  <c r="D39" i="53" s="1"/>
  <c r="D40" i="53" s="1"/>
  <c r="D41" i="53" s="1"/>
  <c r="D42" i="53" s="1"/>
  <c r="D43" i="53" s="1"/>
  <c r="D44" i="53" s="1"/>
  <c r="D45" i="53" s="1"/>
  <c r="D46" i="53" s="1"/>
  <c r="D47" i="53" s="1"/>
  <c r="AZ35" i="53"/>
  <c r="AY35" i="53"/>
  <c r="AZ34" i="53"/>
  <c r="AY34" i="53"/>
  <c r="AZ33" i="53"/>
  <c r="AY33" i="53"/>
  <c r="AZ32" i="53"/>
  <c r="AY32" i="53"/>
  <c r="AD32" i="53"/>
  <c r="AZ31" i="53"/>
  <c r="AY31" i="53"/>
  <c r="D31" i="53"/>
  <c r="D32" i="53" s="1"/>
  <c r="D33" i="53" s="1"/>
  <c r="D34" i="53" s="1"/>
  <c r="D35" i="53" s="1"/>
  <c r="AZ30" i="53"/>
  <c r="AY30" i="53"/>
  <c r="AD30" i="53"/>
  <c r="AD31" i="53" s="1"/>
  <c r="B30" i="53"/>
  <c r="AA30" i="53" s="1"/>
  <c r="AK30" i="53" s="1"/>
  <c r="AV30" i="53" s="1"/>
  <c r="AZ29" i="53"/>
  <c r="AY29" i="53"/>
  <c r="AA29" i="53"/>
  <c r="AK29" i="53" s="1"/>
  <c r="AV29" i="53" s="1"/>
  <c r="D29" i="53"/>
  <c r="D30" i="53" s="1"/>
  <c r="B29" i="53"/>
  <c r="BB28" i="53"/>
  <c r="AZ28" i="53"/>
  <c r="AY28" i="53"/>
  <c r="AQ28" i="53"/>
  <c r="AK28" i="53"/>
  <c r="AV28" i="53" s="1"/>
  <c r="AF28" i="53"/>
  <c r="AH28" i="53" s="1"/>
  <c r="AD28" i="53"/>
  <c r="AD29" i="53" s="1"/>
  <c r="AA28" i="53"/>
  <c r="X28" i="53"/>
  <c r="V28" i="53"/>
  <c r="T28" i="53"/>
  <c r="T29" i="53" s="1"/>
  <c r="I28" i="53"/>
  <c r="Y19" i="53"/>
  <c r="AF11" i="53"/>
  <c r="AF13" i="53"/>
  <c r="B93" i="52"/>
  <c r="AZ76" i="52"/>
  <c r="AY76" i="52"/>
  <c r="AO76" i="52"/>
  <c r="AN76" i="52"/>
  <c r="AZ75" i="52"/>
  <c r="AY75" i="52"/>
  <c r="AO75" i="52"/>
  <c r="AN75" i="52"/>
  <c r="AZ74" i="52"/>
  <c r="AY74" i="52"/>
  <c r="AO74" i="52"/>
  <c r="AN74" i="52"/>
  <c r="AZ73" i="52"/>
  <c r="AY73" i="52"/>
  <c r="AO73" i="52"/>
  <c r="AN73" i="52"/>
  <c r="AZ72" i="52"/>
  <c r="AY72" i="52"/>
  <c r="AO72" i="52"/>
  <c r="AN72" i="52"/>
  <c r="AZ71" i="52"/>
  <c r="AY71" i="52"/>
  <c r="AO71" i="52"/>
  <c r="AN71" i="52"/>
  <c r="AZ70" i="52"/>
  <c r="AY70" i="52"/>
  <c r="AO70" i="52"/>
  <c r="AN70" i="52"/>
  <c r="AZ69" i="52"/>
  <c r="AY69" i="52"/>
  <c r="AO69" i="52"/>
  <c r="AN69" i="52"/>
  <c r="AZ68" i="52"/>
  <c r="AY68" i="52"/>
  <c r="AO68" i="52"/>
  <c r="AN68" i="52"/>
  <c r="AZ67" i="52"/>
  <c r="AY67" i="52"/>
  <c r="AO67" i="52"/>
  <c r="AN67" i="52"/>
  <c r="AZ66" i="52"/>
  <c r="AY66" i="52"/>
  <c r="AO66" i="52"/>
  <c r="AN66" i="52"/>
  <c r="AZ65" i="52"/>
  <c r="AY65" i="52"/>
  <c r="AZ64" i="52"/>
  <c r="AY64" i="52"/>
  <c r="AZ63" i="52"/>
  <c r="AY63" i="52"/>
  <c r="AZ62" i="52"/>
  <c r="AY62" i="52"/>
  <c r="AZ61" i="52"/>
  <c r="AY61" i="52"/>
  <c r="AZ60" i="52"/>
  <c r="AY60" i="52"/>
  <c r="AZ59" i="52"/>
  <c r="AY59" i="52"/>
  <c r="AZ58" i="52"/>
  <c r="AY58" i="52"/>
  <c r="AZ57" i="52"/>
  <c r="AY57" i="52"/>
  <c r="AZ56" i="52"/>
  <c r="AY56" i="52"/>
  <c r="AZ55" i="52"/>
  <c r="AY55" i="52"/>
  <c r="AZ54" i="52"/>
  <c r="AY54" i="52"/>
  <c r="AZ53" i="52"/>
  <c r="AY53" i="52"/>
  <c r="AZ52" i="52"/>
  <c r="AY52" i="52"/>
  <c r="AZ51" i="52"/>
  <c r="AY51" i="52"/>
  <c r="AZ50" i="52"/>
  <c r="AY50" i="52"/>
  <c r="AZ49" i="52"/>
  <c r="AY49" i="52"/>
  <c r="AZ48" i="52"/>
  <c r="AY48" i="52"/>
  <c r="AZ47" i="52"/>
  <c r="AY47" i="52"/>
  <c r="AZ46" i="52"/>
  <c r="AY46" i="52"/>
  <c r="AZ45" i="52"/>
  <c r="AY45" i="52"/>
  <c r="AZ44" i="52"/>
  <c r="AY44" i="52"/>
  <c r="AZ43" i="52"/>
  <c r="AY43" i="52"/>
  <c r="AZ42" i="52"/>
  <c r="AY42" i="52"/>
  <c r="AZ41" i="52"/>
  <c r="AY41" i="52"/>
  <c r="D41" i="52"/>
  <c r="D42" i="52" s="1"/>
  <c r="D43" i="52" s="1"/>
  <c r="D44" i="52" s="1"/>
  <c r="D45" i="52" s="1"/>
  <c r="D46" i="52" s="1"/>
  <c r="D47" i="52" s="1"/>
  <c r="D48" i="52" s="1"/>
  <c r="D49" i="52" s="1"/>
  <c r="D50" i="52" s="1"/>
  <c r="D51" i="52" s="1"/>
  <c r="D52" i="52" s="1"/>
  <c r="D53" i="52" s="1"/>
  <c r="D54" i="52" s="1"/>
  <c r="D55" i="52" s="1"/>
  <c r="D56" i="52" s="1"/>
  <c r="D57" i="52" s="1"/>
  <c r="D58" i="52" s="1"/>
  <c r="D59" i="52" s="1"/>
  <c r="D60" i="52" s="1"/>
  <c r="D61" i="52" s="1"/>
  <c r="D62" i="52" s="1"/>
  <c r="D63" i="52" s="1"/>
  <c r="D64" i="52" s="1"/>
  <c r="D65" i="52" s="1"/>
  <c r="D66" i="52" s="1"/>
  <c r="D67" i="52" s="1"/>
  <c r="D68" i="52" s="1"/>
  <c r="D69" i="52" s="1"/>
  <c r="D70" i="52" s="1"/>
  <c r="D71" i="52" s="1"/>
  <c r="D72" i="52" s="1"/>
  <c r="D73" i="52" s="1"/>
  <c r="D74" i="52" s="1"/>
  <c r="D75" i="52" s="1"/>
  <c r="D76" i="52" s="1"/>
  <c r="AZ40" i="52"/>
  <c r="AY40" i="52"/>
  <c r="AZ39" i="52"/>
  <c r="AY39" i="52"/>
  <c r="AZ38" i="52"/>
  <c r="AY38" i="52"/>
  <c r="AZ37" i="52"/>
  <c r="AY37" i="52"/>
  <c r="AZ36" i="52"/>
  <c r="AY36" i="52"/>
  <c r="D36" i="52"/>
  <c r="D37" i="52" s="1"/>
  <c r="D38" i="52" s="1"/>
  <c r="D39" i="52" s="1"/>
  <c r="D40" i="52" s="1"/>
  <c r="AZ35" i="52"/>
  <c r="AY35" i="52"/>
  <c r="AZ34" i="52"/>
  <c r="AY34" i="52"/>
  <c r="D34" i="52"/>
  <c r="D35" i="52" s="1"/>
  <c r="AZ33" i="52"/>
  <c r="AY33" i="52"/>
  <c r="AZ32" i="52"/>
  <c r="AY32" i="52"/>
  <c r="AZ31" i="52"/>
  <c r="AY31" i="52"/>
  <c r="AZ30" i="52"/>
  <c r="AY30" i="52"/>
  <c r="T30" i="52"/>
  <c r="AZ29" i="52"/>
  <c r="AY29" i="52"/>
  <c r="AA29" i="52"/>
  <c r="AK29" i="52" s="1"/>
  <c r="AV29" i="52" s="1"/>
  <c r="T29" i="52"/>
  <c r="I29" i="52"/>
  <c r="D29" i="52"/>
  <c r="D30" i="52" s="1"/>
  <c r="D31" i="52" s="1"/>
  <c r="D32" i="52" s="1"/>
  <c r="D33" i="52" s="1"/>
  <c r="B29" i="52"/>
  <c r="B30" i="52" s="1"/>
  <c r="BB28" i="52"/>
  <c r="AZ28" i="52"/>
  <c r="AY28" i="52"/>
  <c r="AQ28" i="52"/>
  <c r="AK28" i="52"/>
  <c r="AV28" i="52" s="1"/>
  <c r="AF28" i="52"/>
  <c r="AD28" i="52"/>
  <c r="AA28" i="52"/>
  <c r="X28" i="52"/>
  <c r="V28" i="52"/>
  <c r="T28" i="52"/>
  <c r="I28" i="52"/>
  <c r="Q28" i="52" s="1"/>
  <c r="Y19" i="52"/>
  <c r="AF11" i="52"/>
  <c r="AF16" i="52" s="1"/>
  <c r="AF13" i="52"/>
  <c r="B93" i="50"/>
  <c r="AZ76" i="50"/>
  <c r="AY76" i="50"/>
  <c r="AO76" i="50"/>
  <c r="AN76" i="50"/>
  <c r="AZ75" i="50"/>
  <c r="AY75" i="50"/>
  <c r="AO75" i="50"/>
  <c r="AN75" i="50"/>
  <c r="AZ74" i="50"/>
  <c r="AY74" i="50"/>
  <c r="AO74" i="50"/>
  <c r="AN74" i="50"/>
  <c r="AZ73" i="50"/>
  <c r="AY73" i="50"/>
  <c r="AO73" i="50"/>
  <c r="AN73" i="50"/>
  <c r="AZ72" i="50"/>
  <c r="AY72" i="50"/>
  <c r="AO72" i="50"/>
  <c r="AN72" i="50"/>
  <c r="AZ71" i="50"/>
  <c r="AY71" i="50"/>
  <c r="AO71" i="50"/>
  <c r="AN71" i="50"/>
  <c r="AZ70" i="50"/>
  <c r="AY70" i="50"/>
  <c r="AO70" i="50"/>
  <c r="AN70" i="50"/>
  <c r="AZ69" i="50"/>
  <c r="AY69" i="50"/>
  <c r="AO69" i="50"/>
  <c r="AN69" i="50"/>
  <c r="AZ68" i="50"/>
  <c r="AY68" i="50"/>
  <c r="AO68" i="50"/>
  <c r="AN68" i="50"/>
  <c r="AZ67" i="50"/>
  <c r="AY67" i="50"/>
  <c r="AO67" i="50"/>
  <c r="AN67" i="50"/>
  <c r="AZ66" i="50"/>
  <c r="AY66" i="50"/>
  <c r="AO66" i="50"/>
  <c r="AN66" i="50"/>
  <c r="AZ65" i="50"/>
  <c r="AY65" i="50"/>
  <c r="AZ64" i="50"/>
  <c r="AY64" i="50"/>
  <c r="AZ63" i="50"/>
  <c r="AY63" i="50"/>
  <c r="AZ62" i="50"/>
  <c r="AY62" i="50"/>
  <c r="AZ61" i="50"/>
  <c r="AY61" i="50"/>
  <c r="AZ60" i="50"/>
  <c r="AY60" i="50"/>
  <c r="AZ59" i="50"/>
  <c r="AY59" i="50"/>
  <c r="AZ58" i="50"/>
  <c r="AY58" i="50"/>
  <c r="AZ57" i="50"/>
  <c r="AY57" i="50"/>
  <c r="AZ56" i="50"/>
  <c r="AY56" i="50"/>
  <c r="AZ55" i="50"/>
  <c r="AY55" i="50"/>
  <c r="AZ54" i="50"/>
  <c r="AY54" i="50"/>
  <c r="AZ53" i="50"/>
  <c r="AY53" i="50"/>
  <c r="AZ52" i="50"/>
  <c r="AY52" i="50"/>
  <c r="AZ51" i="50"/>
  <c r="AY51" i="50"/>
  <c r="AZ50" i="50"/>
  <c r="AY50" i="50"/>
  <c r="AZ49" i="50"/>
  <c r="AY49" i="50"/>
  <c r="AZ48" i="50"/>
  <c r="AY48" i="50"/>
  <c r="AZ47" i="50"/>
  <c r="AY47" i="50"/>
  <c r="AZ46" i="50"/>
  <c r="AY46" i="50"/>
  <c r="AZ45" i="50"/>
  <c r="AY45" i="50"/>
  <c r="AZ44" i="50"/>
  <c r="AY44" i="50"/>
  <c r="AZ43" i="50"/>
  <c r="AY43" i="50"/>
  <c r="AZ42" i="50"/>
  <c r="AY42" i="50"/>
  <c r="AZ41" i="50"/>
  <c r="AY41" i="50"/>
  <c r="AZ40" i="50"/>
  <c r="AY40" i="50"/>
  <c r="AZ39" i="50"/>
  <c r="AY39" i="50"/>
  <c r="AZ38" i="50"/>
  <c r="AY38" i="50"/>
  <c r="AZ37" i="50"/>
  <c r="AY37" i="50"/>
  <c r="AZ36" i="50"/>
  <c r="AY36" i="50"/>
  <c r="AZ35" i="50"/>
  <c r="AY35" i="50"/>
  <c r="AZ34" i="50"/>
  <c r="AY34" i="50"/>
  <c r="AZ33" i="50"/>
  <c r="AY33" i="50"/>
  <c r="I33" i="50"/>
  <c r="AZ32" i="50"/>
  <c r="AY32" i="50"/>
  <c r="I32" i="50"/>
  <c r="Q32" i="50" s="1"/>
  <c r="AZ31" i="50"/>
  <c r="AY31" i="50"/>
  <c r="Q31" i="50"/>
  <c r="AZ30" i="50"/>
  <c r="AY30" i="50"/>
  <c r="AD30" i="50"/>
  <c r="Q30" i="50"/>
  <c r="D30" i="50"/>
  <c r="D31" i="50" s="1"/>
  <c r="D32" i="50" s="1"/>
  <c r="D33" i="50" s="1"/>
  <c r="D34" i="50" s="1"/>
  <c r="D35" i="50" s="1"/>
  <c r="D36" i="50" s="1"/>
  <c r="D37" i="50" s="1"/>
  <c r="D38" i="50" s="1"/>
  <c r="D39" i="50" s="1"/>
  <c r="D40" i="50" s="1"/>
  <c r="D41" i="50" s="1"/>
  <c r="D42" i="50" s="1"/>
  <c r="D43" i="50" s="1"/>
  <c r="D44" i="50" s="1"/>
  <c r="D45" i="50" s="1"/>
  <c r="D46" i="50" s="1"/>
  <c r="D47" i="50" s="1"/>
  <c r="D48" i="50" s="1"/>
  <c r="D49" i="50" s="1"/>
  <c r="D50" i="50" s="1"/>
  <c r="D51" i="50" s="1"/>
  <c r="D52" i="50" s="1"/>
  <c r="D53" i="50" s="1"/>
  <c r="D54" i="50" s="1"/>
  <c r="D55" i="50" s="1"/>
  <c r="D56" i="50" s="1"/>
  <c r="D57" i="50" s="1"/>
  <c r="D58" i="50" s="1"/>
  <c r="D59" i="50" s="1"/>
  <c r="D60" i="50" s="1"/>
  <c r="D61" i="50" s="1"/>
  <c r="D62" i="50" s="1"/>
  <c r="D63" i="50" s="1"/>
  <c r="D64" i="50" s="1"/>
  <c r="D65" i="50" s="1"/>
  <c r="D66" i="50" s="1"/>
  <c r="D67" i="50" s="1"/>
  <c r="D68" i="50" s="1"/>
  <c r="D69" i="50" s="1"/>
  <c r="D70" i="50" s="1"/>
  <c r="D71" i="50" s="1"/>
  <c r="D72" i="50" s="1"/>
  <c r="D73" i="50" s="1"/>
  <c r="D74" i="50" s="1"/>
  <c r="D75" i="50" s="1"/>
  <c r="D76" i="50" s="1"/>
  <c r="AZ29" i="50"/>
  <c r="AY29" i="50"/>
  <c r="AD29" i="50"/>
  <c r="Q29" i="50"/>
  <c r="D29" i="50"/>
  <c r="B29" i="50"/>
  <c r="AA29" i="50" s="1"/>
  <c r="AK29" i="50" s="1"/>
  <c r="AV29" i="50" s="1"/>
  <c r="BB28" i="50"/>
  <c r="BD28" i="50" s="1"/>
  <c r="AZ28" i="50"/>
  <c r="AY28" i="50"/>
  <c r="AQ28" i="50"/>
  <c r="AF28" i="50"/>
  <c r="AH28" i="50" s="1"/>
  <c r="AD28" i="50"/>
  <c r="AA28" i="50"/>
  <c r="AK28" i="50" s="1"/>
  <c r="AV28" i="50" s="1"/>
  <c r="X28" i="50"/>
  <c r="V28" i="50"/>
  <c r="T28" i="50"/>
  <c r="I28" i="50"/>
  <c r="I29" i="50" s="1"/>
  <c r="I30" i="50" s="1"/>
  <c r="I31" i="50" s="1"/>
  <c r="Y19" i="50"/>
  <c r="AF11" i="50"/>
  <c r="AF16" i="50" s="1"/>
  <c r="C28" i="50"/>
  <c r="B93" i="49"/>
  <c r="AZ76" i="49"/>
  <c r="AY76" i="49"/>
  <c r="AO76" i="49"/>
  <c r="AN76" i="49"/>
  <c r="AZ75" i="49"/>
  <c r="AY75" i="49"/>
  <c r="AO75" i="49"/>
  <c r="AN75" i="49"/>
  <c r="AZ74" i="49"/>
  <c r="AY74" i="49"/>
  <c r="AO74" i="49"/>
  <c r="AN74" i="49"/>
  <c r="AZ73" i="49"/>
  <c r="AY73" i="49"/>
  <c r="AO73" i="49"/>
  <c r="AN73" i="49"/>
  <c r="AZ72" i="49"/>
  <c r="AY72" i="49"/>
  <c r="AO72" i="49"/>
  <c r="AN72" i="49"/>
  <c r="AZ71" i="49"/>
  <c r="AY71" i="49"/>
  <c r="AO71" i="49"/>
  <c r="AN71" i="49"/>
  <c r="AZ70" i="49"/>
  <c r="AY70" i="49"/>
  <c r="AO70" i="49"/>
  <c r="AN70" i="49"/>
  <c r="AZ69" i="49"/>
  <c r="AY69" i="49"/>
  <c r="AO69" i="49"/>
  <c r="AN69" i="49"/>
  <c r="AZ68" i="49"/>
  <c r="AY68" i="49"/>
  <c r="AO68" i="49"/>
  <c r="AN68" i="49"/>
  <c r="AZ67" i="49"/>
  <c r="AY67" i="49"/>
  <c r="AO67" i="49"/>
  <c r="AN67" i="49"/>
  <c r="AZ66" i="49"/>
  <c r="AY66" i="49"/>
  <c r="AO66" i="49"/>
  <c r="AN66" i="49"/>
  <c r="AZ65" i="49"/>
  <c r="AY65" i="49"/>
  <c r="AZ64" i="49"/>
  <c r="AY64" i="49"/>
  <c r="AZ63" i="49"/>
  <c r="AY63" i="49"/>
  <c r="AZ62" i="49"/>
  <c r="AY62" i="49"/>
  <c r="AZ61" i="49"/>
  <c r="AY61" i="49"/>
  <c r="AZ60" i="49"/>
  <c r="AY60" i="49"/>
  <c r="AZ59" i="49"/>
  <c r="AY59" i="49"/>
  <c r="AZ58" i="49"/>
  <c r="AY58" i="49"/>
  <c r="AZ57" i="49"/>
  <c r="AY57" i="49"/>
  <c r="AZ56" i="49"/>
  <c r="AY56" i="49"/>
  <c r="AZ55" i="49"/>
  <c r="AY55" i="49"/>
  <c r="AZ54" i="49"/>
  <c r="AY54" i="49"/>
  <c r="AZ53" i="49"/>
  <c r="AY53" i="49"/>
  <c r="AZ52" i="49"/>
  <c r="AY52" i="49"/>
  <c r="AZ51" i="49"/>
  <c r="AY51" i="49"/>
  <c r="AZ50" i="49"/>
  <c r="AY50" i="49"/>
  <c r="AZ49" i="49"/>
  <c r="AY49" i="49"/>
  <c r="AZ48" i="49"/>
  <c r="AY48" i="49"/>
  <c r="AZ47" i="49"/>
  <c r="AY47" i="49"/>
  <c r="AZ46" i="49"/>
  <c r="AY46" i="49"/>
  <c r="AZ45" i="49"/>
  <c r="AY45" i="49"/>
  <c r="AZ44" i="49"/>
  <c r="AY44" i="49"/>
  <c r="AZ43" i="49"/>
  <c r="AY43" i="49"/>
  <c r="AZ42" i="49"/>
  <c r="AY42" i="49"/>
  <c r="AZ41" i="49"/>
  <c r="AY41" i="49"/>
  <c r="AZ40" i="49"/>
  <c r="AY40" i="49"/>
  <c r="AZ39" i="49"/>
  <c r="AY39" i="49"/>
  <c r="AZ38" i="49"/>
  <c r="AY38" i="49"/>
  <c r="AZ37" i="49"/>
  <c r="AY37" i="49"/>
  <c r="AZ36" i="49"/>
  <c r="AY36" i="49"/>
  <c r="AZ35" i="49"/>
  <c r="AY35" i="49"/>
  <c r="AZ34" i="49"/>
  <c r="AY34" i="49"/>
  <c r="AZ33" i="49"/>
  <c r="AY33" i="49"/>
  <c r="T33" i="49"/>
  <c r="AZ32" i="49"/>
  <c r="AY32" i="49"/>
  <c r="AZ31" i="49"/>
  <c r="AY31" i="49"/>
  <c r="T31" i="49"/>
  <c r="T32" i="49" s="1"/>
  <c r="AZ30" i="49"/>
  <c r="AY30" i="49"/>
  <c r="AZ29" i="49"/>
  <c r="AY29" i="49"/>
  <c r="AD29" i="49"/>
  <c r="T29" i="49"/>
  <c r="T30" i="49" s="1"/>
  <c r="D29" i="49"/>
  <c r="D30" i="49" s="1"/>
  <c r="D31" i="49" s="1"/>
  <c r="D32" i="49" s="1"/>
  <c r="D33" i="49" s="1"/>
  <c r="D34" i="49" s="1"/>
  <c r="D35" i="49" s="1"/>
  <c r="D36" i="49" s="1"/>
  <c r="D37" i="49" s="1"/>
  <c r="D38" i="49" s="1"/>
  <c r="D39" i="49" s="1"/>
  <c r="D40" i="49" s="1"/>
  <c r="D41" i="49" s="1"/>
  <c r="D42" i="49" s="1"/>
  <c r="D43" i="49" s="1"/>
  <c r="D44" i="49" s="1"/>
  <c r="D45" i="49" s="1"/>
  <c r="D46" i="49" s="1"/>
  <c r="D47" i="49" s="1"/>
  <c r="D48" i="49" s="1"/>
  <c r="D49" i="49" s="1"/>
  <c r="D50" i="49" s="1"/>
  <c r="D51" i="49" s="1"/>
  <c r="D52" i="49" s="1"/>
  <c r="D53" i="49" s="1"/>
  <c r="D54" i="49" s="1"/>
  <c r="D55" i="49" s="1"/>
  <c r="D56" i="49" s="1"/>
  <c r="D57" i="49" s="1"/>
  <c r="D58" i="49" s="1"/>
  <c r="D59" i="49" s="1"/>
  <c r="D60" i="49" s="1"/>
  <c r="D61" i="49" s="1"/>
  <c r="D62" i="49" s="1"/>
  <c r="D63" i="49" s="1"/>
  <c r="D64" i="49" s="1"/>
  <c r="D65" i="49" s="1"/>
  <c r="D66" i="49" s="1"/>
  <c r="D67" i="49" s="1"/>
  <c r="D68" i="49" s="1"/>
  <c r="D69" i="49" s="1"/>
  <c r="D70" i="49" s="1"/>
  <c r="D71" i="49" s="1"/>
  <c r="D72" i="49" s="1"/>
  <c r="D73" i="49" s="1"/>
  <c r="D74" i="49" s="1"/>
  <c r="D75" i="49" s="1"/>
  <c r="D76" i="49" s="1"/>
  <c r="B29" i="49"/>
  <c r="BB28" i="49"/>
  <c r="AZ28" i="49"/>
  <c r="AY28" i="49"/>
  <c r="AS28" i="49"/>
  <c r="AQ28" i="49"/>
  <c r="AK28" i="49"/>
  <c r="AV28" i="49" s="1"/>
  <c r="AF28" i="49"/>
  <c r="AH28" i="49" s="1"/>
  <c r="AD28" i="49"/>
  <c r="AA28" i="49"/>
  <c r="X28" i="49"/>
  <c r="V28" i="49"/>
  <c r="T28" i="49"/>
  <c r="I28" i="49"/>
  <c r="Y19" i="49"/>
  <c r="F7" i="53" l="1"/>
  <c r="F28" i="52"/>
  <c r="AB28" i="52"/>
  <c r="C29" i="52"/>
  <c r="J29" i="52" s="1"/>
  <c r="R29" i="52" s="1"/>
  <c r="S29" i="52" s="1"/>
  <c r="AC28" i="52"/>
  <c r="F5" i="52"/>
  <c r="F7" i="52" s="1"/>
  <c r="AF13" i="50"/>
  <c r="F5" i="50"/>
  <c r="F7" i="50" s="1"/>
  <c r="C28" i="53"/>
  <c r="J28" i="53" s="1"/>
  <c r="R28" i="53" s="1"/>
  <c r="S28" i="53" s="1"/>
  <c r="M10" i="54"/>
  <c r="A11" i="54"/>
  <c r="A12" i="54" s="1"/>
  <c r="A13" i="54" s="1"/>
  <c r="F13" i="54" s="1"/>
  <c r="K13" i="54" s="1"/>
  <c r="P10" i="54"/>
  <c r="Q10" i="54" s="1"/>
  <c r="H10" i="54"/>
  <c r="J10" i="54" s="1"/>
  <c r="N10" i="54" s="1"/>
  <c r="O10" i="54" s="1"/>
  <c r="D11" i="54"/>
  <c r="E11" i="54" s="1"/>
  <c r="K10" i="54"/>
  <c r="C14" i="54"/>
  <c r="D14" i="54" s="1"/>
  <c r="E14" i="54" s="1"/>
  <c r="D13" i="54"/>
  <c r="E13" i="54" s="1"/>
  <c r="D12" i="54"/>
  <c r="E12" i="54" s="1"/>
  <c r="D10" i="54"/>
  <c r="E10" i="54" s="1"/>
  <c r="BD28" i="53"/>
  <c r="T30" i="53"/>
  <c r="B31" i="53"/>
  <c r="AC28" i="53"/>
  <c r="I29" i="53"/>
  <c r="Q28" i="53"/>
  <c r="C29" i="53"/>
  <c r="AD33" i="53"/>
  <c r="AS28" i="53"/>
  <c r="AF16" i="53"/>
  <c r="AA30" i="52"/>
  <c r="AK30" i="52" s="1"/>
  <c r="AV30" i="52" s="1"/>
  <c r="B31" i="52"/>
  <c r="Q29" i="52"/>
  <c r="I30" i="52"/>
  <c r="AL28" i="52"/>
  <c r="AH28" i="52"/>
  <c r="AD29" i="52"/>
  <c r="AM29" i="52"/>
  <c r="AC29" i="52"/>
  <c r="C30" i="52"/>
  <c r="BB14" i="52"/>
  <c r="BM18" i="52"/>
  <c r="U20" i="52" s="1"/>
  <c r="E29" i="52"/>
  <c r="F29" i="52"/>
  <c r="BD28" i="52"/>
  <c r="AM28" i="52"/>
  <c r="J28" i="52"/>
  <c r="R28" i="52" s="1"/>
  <c r="T31" i="52"/>
  <c r="E28" i="52"/>
  <c r="G28" i="52" s="1"/>
  <c r="AS28" i="52"/>
  <c r="F28" i="50"/>
  <c r="AB28" i="50"/>
  <c r="AL28" i="50" s="1"/>
  <c r="J28" i="50"/>
  <c r="R28" i="50" s="1"/>
  <c r="S28" i="50" s="1"/>
  <c r="E28" i="50"/>
  <c r="BM18" i="50"/>
  <c r="U20" i="50" s="1"/>
  <c r="BB14" i="50"/>
  <c r="I34" i="50"/>
  <c r="Q33" i="50"/>
  <c r="C29" i="50"/>
  <c r="T29" i="50"/>
  <c r="AD31" i="50"/>
  <c r="AS28" i="50"/>
  <c r="B30" i="50"/>
  <c r="Q28" i="50"/>
  <c r="AF11" i="49"/>
  <c r="B30" i="49"/>
  <c r="AA29" i="49"/>
  <c r="AK29" i="49" s="1"/>
  <c r="AV29" i="49" s="1"/>
  <c r="BD28" i="49"/>
  <c r="F5" i="49"/>
  <c r="F7" i="49" s="1"/>
  <c r="C28" i="49"/>
  <c r="I29" i="49"/>
  <c r="Q28" i="49"/>
  <c r="AF13" i="49"/>
  <c r="T34" i="49"/>
  <c r="AD30" i="49"/>
  <c r="E28" i="53" l="1"/>
  <c r="F28" i="53"/>
  <c r="AB28" i="53"/>
  <c r="AM28" i="53"/>
  <c r="AB29" i="52"/>
  <c r="AL29" i="52" s="1"/>
  <c r="AC28" i="50"/>
  <c r="AM28" i="50"/>
  <c r="I13" i="54"/>
  <c r="P13" i="54" s="1"/>
  <c r="Q13" i="54" s="1"/>
  <c r="T13" i="54" s="1"/>
  <c r="G13" i="54"/>
  <c r="H13" i="54" s="1"/>
  <c r="J13" i="54" s="1"/>
  <c r="N13" i="54" s="1"/>
  <c r="O13" i="54" s="1"/>
  <c r="A14" i="54"/>
  <c r="G11" i="54"/>
  <c r="M11" i="54" s="1"/>
  <c r="F11" i="54"/>
  <c r="K11" i="54" s="1"/>
  <c r="F12" i="54"/>
  <c r="G12" i="54"/>
  <c r="M12" i="54" s="1"/>
  <c r="T10" i="54"/>
  <c r="S13" i="54"/>
  <c r="V13" i="54" s="1"/>
  <c r="S12" i="54"/>
  <c r="R10" i="54"/>
  <c r="U10" i="54" s="1"/>
  <c r="S10" i="54"/>
  <c r="V10" i="54" s="1"/>
  <c r="M13" i="54"/>
  <c r="L13" i="54"/>
  <c r="I12" i="54"/>
  <c r="P12" i="54" s="1"/>
  <c r="Q12" i="54" s="1"/>
  <c r="F14" i="54"/>
  <c r="S14" i="54" s="1"/>
  <c r="G14" i="54"/>
  <c r="K14" i="54"/>
  <c r="G28" i="53"/>
  <c r="AO28" i="53"/>
  <c r="AN28" i="53"/>
  <c r="T31" i="53"/>
  <c r="AD34" i="53"/>
  <c r="Q29" i="53"/>
  <c r="I30" i="53"/>
  <c r="AL28" i="53"/>
  <c r="C30" i="53"/>
  <c r="AC29" i="53"/>
  <c r="J29" i="53"/>
  <c r="R29" i="53" s="1"/>
  <c r="E29" i="53"/>
  <c r="F29" i="53"/>
  <c r="AM29" i="53"/>
  <c r="AB29" i="53"/>
  <c r="AL29" i="53" s="1"/>
  <c r="AA31" i="53"/>
  <c r="AK31" i="53" s="1"/>
  <c r="AV31" i="53" s="1"/>
  <c r="B32" i="53"/>
  <c r="BB14" i="53"/>
  <c r="BM18" i="53"/>
  <c r="U20" i="53" s="1"/>
  <c r="AP28" i="52"/>
  <c r="BA28" i="52"/>
  <c r="BC28" i="52" s="1"/>
  <c r="BE28" i="52" s="1"/>
  <c r="BB29" i="52" s="1"/>
  <c r="AE28" i="52"/>
  <c r="AG28" i="52" s="1"/>
  <c r="AI28" i="52" s="1"/>
  <c r="AF29" i="52" s="1"/>
  <c r="AD30" i="52"/>
  <c r="T32" i="52"/>
  <c r="S28" i="52"/>
  <c r="G29" i="52"/>
  <c r="L28" i="52"/>
  <c r="M28" i="52"/>
  <c r="U28" i="52" s="1"/>
  <c r="K28" i="52"/>
  <c r="AW28" i="52"/>
  <c r="I31" i="52"/>
  <c r="Q30" i="52"/>
  <c r="K29" i="52"/>
  <c r="L29" i="52"/>
  <c r="AW29" i="52"/>
  <c r="B32" i="52"/>
  <c r="AA31" i="52"/>
  <c r="AK31" i="52" s="1"/>
  <c r="AV31" i="52" s="1"/>
  <c r="AO29" i="52"/>
  <c r="AN29" i="52"/>
  <c r="N28" i="52"/>
  <c r="AO28" i="52"/>
  <c r="AN28" i="52"/>
  <c r="AC30" i="52"/>
  <c r="E30" i="52"/>
  <c r="AB30" i="52"/>
  <c r="AM30" i="52"/>
  <c r="J30" i="52"/>
  <c r="R30" i="52" s="1"/>
  <c r="S30" i="52" s="1"/>
  <c r="C31" i="52"/>
  <c r="F30" i="52"/>
  <c r="G28" i="50"/>
  <c r="AD32" i="50"/>
  <c r="B31" i="50"/>
  <c r="AA30" i="50"/>
  <c r="AK30" i="50" s="1"/>
  <c r="AV30" i="50" s="1"/>
  <c r="AN28" i="50"/>
  <c r="AO28" i="50"/>
  <c r="K28" i="50"/>
  <c r="L28" i="50"/>
  <c r="AW28" i="50"/>
  <c r="J29" i="50"/>
  <c r="R29" i="50" s="1"/>
  <c r="S29" i="50" s="1"/>
  <c r="F29" i="50"/>
  <c r="C30" i="50"/>
  <c r="AM29" i="50"/>
  <c r="AC29" i="50"/>
  <c r="AB29" i="50"/>
  <c r="AL29" i="50" s="1"/>
  <c r="E29" i="50"/>
  <c r="I35" i="50"/>
  <c r="Q34" i="50"/>
  <c r="T30" i="50"/>
  <c r="I30" i="49"/>
  <c r="Q29" i="49"/>
  <c r="AD31" i="49"/>
  <c r="T35" i="49"/>
  <c r="B31" i="49"/>
  <c r="AA30" i="49"/>
  <c r="AK30" i="49" s="1"/>
  <c r="AV30" i="49" s="1"/>
  <c r="AM28" i="49"/>
  <c r="AB28" i="49"/>
  <c r="AL28" i="49" s="1"/>
  <c r="AC28" i="49"/>
  <c r="J28" i="49"/>
  <c r="R28" i="49" s="1"/>
  <c r="S28" i="49" s="1"/>
  <c r="F28" i="49"/>
  <c r="E28" i="49"/>
  <c r="C29" i="49"/>
  <c r="AF16" i="49"/>
  <c r="W28" i="52" l="1"/>
  <c r="Y28" i="52" s="1"/>
  <c r="V29" i="52" s="1"/>
  <c r="X29" i="52" s="1"/>
  <c r="G29" i="50"/>
  <c r="H11" i="54"/>
  <c r="J11" i="54" s="1"/>
  <c r="N11" i="54" s="1"/>
  <c r="O11" i="54" s="1"/>
  <c r="R11" i="54" s="1"/>
  <c r="U11" i="54" s="1"/>
  <c r="H12" i="54"/>
  <c r="J12" i="54" s="1"/>
  <c r="N12" i="54" s="1"/>
  <c r="O12" i="54" s="1"/>
  <c r="R12" i="54" s="1"/>
  <c r="V14" i="54"/>
  <c r="K12" i="54"/>
  <c r="V12" i="54" s="1"/>
  <c r="L12" i="54"/>
  <c r="L11" i="54"/>
  <c r="S11" i="54"/>
  <c r="V11" i="54" s="1"/>
  <c r="I11" i="54"/>
  <c r="P11" i="54" s="1"/>
  <c r="Q11" i="54" s="1"/>
  <c r="T11" i="54" s="1"/>
  <c r="T12" i="54"/>
  <c r="I14" i="54"/>
  <c r="P14" i="54" s="1"/>
  <c r="Q14" i="54" s="1"/>
  <c r="T14" i="54" s="1"/>
  <c r="R13" i="54"/>
  <c r="U13" i="54" s="1"/>
  <c r="M14" i="54"/>
  <c r="L14" i="54"/>
  <c r="H14" i="54"/>
  <c r="J14" i="54" s="1"/>
  <c r="N14" i="54" s="1"/>
  <c r="O14" i="54" s="1"/>
  <c r="AP28" i="53"/>
  <c r="AR28" i="53" s="1"/>
  <c r="AT28" i="53" s="1"/>
  <c r="AQ29" i="53" s="1"/>
  <c r="BA28" i="50"/>
  <c r="BC28" i="50" s="1"/>
  <c r="BE28" i="50" s="1"/>
  <c r="BB29" i="50" s="1"/>
  <c r="BD29" i="50" s="1"/>
  <c r="BA28" i="53"/>
  <c r="BC28" i="53" s="1"/>
  <c r="BE28" i="53" s="1"/>
  <c r="BB29" i="53" s="1"/>
  <c r="BD29" i="53" s="1"/>
  <c r="AE28" i="53"/>
  <c r="AG28" i="53" s="1"/>
  <c r="AI28" i="53" s="1"/>
  <c r="AF29" i="53" s="1"/>
  <c r="AH29" i="53" s="1"/>
  <c r="K29" i="53"/>
  <c r="AW29" i="53"/>
  <c r="L29" i="53"/>
  <c r="AN29" i="53"/>
  <c r="AO29" i="53"/>
  <c r="AD35" i="53"/>
  <c r="AA32" i="53"/>
  <c r="AK32" i="53" s="1"/>
  <c r="AV32" i="53" s="1"/>
  <c r="B33" i="53"/>
  <c r="S29" i="53"/>
  <c r="G29" i="53"/>
  <c r="Q30" i="53"/>
  <c r="I31" i="53"/>
  <c r="C31" i="53"/>
  <c r="F30" i="53"/>
  <c r="AC30" i="53"/>
  <c r="E30" i="53"/>
  <c r="AM30" i="53"/>
  <c r="AB30" i="53"/>
  <c r="AL30" i="53" s="1"/>
  <c r="J30" i="53"/>
  <c r="R30" i="53" s="1"/>
  <c r="S30" i="53" s="1"/>
  <c r="L28" i="53"/>
  <c r="M28" i="53" s="1"/>
  <c r="U28" i="53" s="1"/>
  <c r="W28" i="53" s="1"/>
  <c r="Y28" i="53" s="1"/>
  <c r="V29" i="53" s="1"/>
  <c r="AW28" i="53"/>
  <c r="N28" i="53"/>
  <c r="K28" i="53"/>
  <c r="T32" i="53"/>
  <c r="M29" i="52"/>
  <c r="U29" i="52" s="1"/>
  <c r="W29" i="52" s="1"/>
  <c r="AH29" i="52"/>
  <c r="C32" i="52"/>
  <c r="F31" i="52"/>
  <c r="E31" i="52"/>
  <c r="AM31" i="52"/>
  <c r="AC31" i="52"/>
  <c r="J31" i="52"/>
  <c r="R31" i="52" s="1"/>
  <c r="S31" i="52" s="1"/>
  <c r="AB31" i="52"/>
  <c r="AL31" i="52" s="1"/>
  <c r="AL30" i="52"/>
  <c r="AP29" i="52"/>
  <c r="AR29" i="52" s="1"/>
  <c r="BA29" i="52"/>
  <c r="BC29" i="52" s="1"/>
  <c r="AE29" i="52"/>
  <c r="AG29" i="52" s="1"/>
  <c r="N29" i="52"/>
  <c r="O29" i="52" s="1"/>
  <c r="AR28" i="52"/>
  <c r="AT28" i="52" s="1"/>
  <c r="AQ29" i="52" s="1"/>
  <c r="T33" i="52"/>
  <c r="O28" i="52"/>
  <c r="AD31" i="52"/>
  <c r="B33" i="52"/>
  <c r="AA32" i="52"/>
  <c r="AK32" i="52" s="1"/>
  <c r="AV32" i="52" s="1"/>
  <c r="BD29" i="52"/>
  <c r="I32" i="52"/>
  <c r="Q31" i="52"/>
  <c r="AO30" i="52"/>
  <c r="AN30" i="52"/>
  <c r="G30" i="52"/>
  <c r="AP28" i="50"/>
  <c r="AR28" i="50" s="1"/>
  <c r="AT28" i="50" s="1"/>
  <c r="AQ29" i="50" s="1"/>
  <c r="AE28" i="50"/>
  <c r="AG28" i="50" s="1"/>
  <c r="AI28" i="50" s="1"/>
  <c r="AF29" i="50" s="1"/>
  <c r="N28" i="50"/>
  <c r="O28" i="50" s="1"/>
  <c r="M28" i="50"/>
  <c r="U28" i="50" s="1"/>
  <c r="W28" i="50" s="1"/>
  <c r="Y28" i="50" s="1"/>
  <c r="V29" i="50" s="1"/>
  <c r="X29" i="50" s="1"/>
  <c r="AH29" i="50"/>
  <c r="I36" i="50"/>
  <c r="Q35" i="50"/>
  <c r="AW29" i="50"/>
  <c r="L29" i="50"/>
  <c r="K29" i="50"/>
  <c r="N29" i="50"/>
  <c r="O29" i="50" s="1"/>
  <c r="AO29" i="50"/>
  <c r="AN29" i="50"/>
  <c r="AD33" i="50"/>
  <c r="T31" i="50"/>
  <c r="AE29" i="50"/>
  <c r="AG29" i="50" s="1"/>
  <c r="BA29" i="50"/>
  <c r="BC29" i="50" s="1"/>
  <c r="AP29" i="50"/>
  <c r="AM30" i="50"/>
  <c r="J30" i="50"/>
  <c r="R30" i="50" s="1"/>
  <c r="F30" i="50"/>
  <c r="C31" i="50"/>
  <c r="AB30" i="50"/>
  <c r="E30" i="50"/>
  <c r="G30" i="50" s="1"/>
  <c r="AC30" i="50"/>
  <c r="B32" i="50"/>
  <c r="AA31" i="50"/>
  <c r="AK31" i="50" s="1"/>
  <c r="AV31" i="50" s="1"/>
  <c r="G28" i="49"/>
  <c r="L28" i="49"/>
  <c r="AW28" i="49"/>
  <c r="K28" i="49"/>
  <c r="AD32" i="49"/>
  <c r="I31" i="49"/>
  <c r="Q30" i="49"/>
  <c r="B32" i="49"/>
  <c r="AA31" i="49"/>
  <c r="AK31" i="49" s="1"/>
  <c r="AV31" i="49" s="1"/>
  <c r="T36" i="49"/>
  <c r="BB14" i="49"/>
  <c r="BM18" i="49"/>
  <c r="U20" i="49" s="1"/>
  <c r="J29" i="49"/>
  <c r="R29" i="49" s="1"/>
  <c r="AM29" i="49"/>
  <c r="C30" i="49"/>
  <c r="F29" i="49"/>
  <c r="E29" i="49"/>
  <c r="G29" i="49" s="1"/>
  <c r="AC29" i="49"/>
  <c r="AB29" i="49"/>
  <c r="AL29" i="49" s="1"/>
  <c r="AO28" i="49"/>
  <c r="AN28" i="49"/>
  <c r="G31" i="52" l="1"/>
  <c r="AP31" i="52" s="1"/>
  <c r="Y29" i="52"/>
  <c r="V30" i="52" s="1"/>
  <c r="X30" i="52" s="1"/>
  <c r="U12" i="54"/>
  <c r="R14" i="54"/>
  <c r="U14" i="54" s="1"/>
  <c r="M29" i="53"/>
  <c r="U29" i="53" s="1"/>
  <c r="W29" i="53" s="1"/>
  <c r="AI29" i="50"/>
  <c r="AF30" i="50" s="1"/>
  <c r="N28" i="49"/>
  <c r="O28" i="49" s="1"/>
  <c r="BA28" i="49"/>
  <c r="BC28" i="49" s="1"/>
  <c r="BE28" i="49" s="1"/>
  <c r="BB29" i="49" s="1"/>
  <c r="BD29" i="49" s="1"/>
  <c r="AE28" i="49"/>
  <c r="AG28" i="49" s="1"/>
  <c r="AI28" i="49" s="1"/>
  <c r="AF29" i="49" s="1"/>
  <c r="G30" i="53"/>
  <c r="AP30" i="53" s="1"/>
  <c r="I32" i="53"/>
  <c r="Q31" i="53"/>
  <c r="AS29" i="53"/>
  <c r="T33" i="53"/>
  <c r="AA33" i="53"/>
  <c r="AK33" i="53" s="1"/>
  <c r="AV33" i="53" s="1"/>
  <c r="B34" i="53"/>
  <c r="X29" i="53"/>
  <c r="Y29" i="53" s="1"/>
  <c r="V30" i="53" s="1"/>
  <c r="L30" i="53"/>
  <c r="AW30" i="53"/>
  <c r="K30" i="53"/>
  <c r="AE29" i="53"/>
  <c r="AG29" i="53" s="1"/>
  <c r="AI29" i="53" s="1"/>
  <c r="AF30" i="53" s="1"/>
  <c r="AP29" i="53"/>
  <c r="AR29" i="53" s="1"/>
  <c r="BA29" i="53"/>
  <c r="BC29" i="53" s="1"/>
  <c r="BE29" i="53" s="1"/>
  <c r="BB30" i="53" s="1"/>
  <c r="O28" i="53"/>
  <c r="AD36" i="53"/>
  <c r="AO30" i="53"/>
  <c r="AN30" i="53"/>
  <c r="N29" i="53"/>
  <c r="O29" i="53" s="1"/>
  <c r="AC31" i="53"/>
  <c r="AM31" i="53"/>
  <c r="F31" i="53"/>
  <c r="E31" i="53"/>
  <c r="G31" i="53" s="1"/>
  <c r="J31" i="53"/>
  <c r="R31" i="53" s="1"/>
  <c r="AB31" i="53"/>
  <c r="C32" i="53"/>
  <c r="BE29" i="52"/>
  <c r="BB30" i="52" s="1"/>
  <c r="BD30" i="52" s="1"/>
  <c r="AI29" i="52"/>
  <c r="AF30" i="52" s="1"/>
  <c r="AH30" i="52"/>
  <c r="L31" i="52"/>
  <c r="M31" i="52" s="1"/>
  <c r="U31" i="52" s="1"/>
  <c r="W31" i="52" s="1"/>
  <c r="AW31" i="52"/>
  <c r="K31" i="52"/>
  <c r="AA33" i="52"/>
  <c r="AK33" i="52" s="1"/>
  <c r="AV33" i="52" s="1"/>
  <c r="B34" i="52"/>
  <c r="AO31" i="52"/>
  <c r="AN31" i="52"/>
  <c r="AD32" i="52"/>
  <c r="T34" i="52"/>
  <c r="AS29" i="52"/>
  <c r="AT29" i="52" s="1"/>
  <c r="AQ30" i="52" s="1"/>
  <c r="L30" i="52"/>
  <c r="M30" i="52" s="1"/>
  <c r="U30" i="52" s="1"/>
  <c r="W30" i="52" s="1"/>
  <c r="K30" i="52"/>
  <c r="AW30" i="52"/>
  <c r="N30" i="52"/>
  <c r="O30" i="52" s="1"/>
  <c r="Q32" i="52"/>
  <c r="I33" i="52"/>
  <c r="BA30" i="52"/>
  <c r="BC30" i="52" s="1"/>
  <c r="AP30" i="52"/>
  <c r="AR30" i="52" s="1"/>
  <c r="AE30" i="52"/>
  <c r="AG30" i="52" s="1"/>
  <c r="C33" i="52"/>
  <c r="J32" i="52"/>
  <c r="R32" i="52" s="1"/>
  <c r="AC32" i="52"/>
  <c r="AB32" i="52"/>
  <c r="AL32" i="52" s="1"/>
  <c r="F32" i="52"/>
  <c r="E32" i="52"/>
  <c r="AM32" i="52"/>
  <c r="BE29" i="50"/>
  <c r="BB30" i="50" s="1"/>
  <c r="BD30" i="50" s="1"/>
  <c r="AR29" i="50"/>
  <c r="AH30" i="50"/>
  <c r="AN30" i="50"/>
  <c r="AO30" i="50"/>
  <c r="AS29" i="50"/>
  <c r="T32" i="50"/>
  <c r="M29" i="50"/>
  <c r="U29" i="50" s="1"/>
  <c r="W29" i="50" s="1"/>
  <c r="Y29" i="50" s="1"/>
  <c r="V30" i="50" s="1"/>
  <c r="B33" i="50"/>
  <c r="AA32" i="50"/>
  <c r="AK32" i="50" s="1"/>
  <c r="AV32" i="50" s="1"/>
  <c r="Q36" i="50"/>
  <c r="I37" i="50"/>
  <c r="AP30" i="50"/>
  <c r="AE30" i="50"/>
  <c r="AG30" i="50" s="1"/>
  <c r="BA30" i="50"/>
  <c r="BC30" i="50" s="1"/>
  <c r="AL30" i="50"/>
  <c r="AB31" i="50"/>
  <c r="AL31" i="50" s="1"/>
  <c r="J31" i="50"/>
  <c r="R31" i="50" s="1"/>
  <c r="S31" i="50" s="1"/>
  <c r="AC31" i="50"/>
  <c r="C32" i="50"/>
  <c r="F31" i="50"/>
  <c r="AM31" i="50"/>
  <c r="E31" i="50"/>
  <c r="G31" i="50" s="1"/>
  <c r="AD34" i="50"/>
  <c r="S30" i="50"/>
  <c r="AP28" i="49"/>
  <c r="AR28" i="49"/>
  <c r="AT28" i="49" s="1"/>
  <c r="AQ29" i="49" s="1"/>
  <c r="AS29" i="49" s="1"/>
  <c r="AM30" i="49"/>
  <c r="AB30" i="49"/>
  <c r="AC30" i="49"/>
  <c r="C31" i="49"/>
  <c r="J30" i="49"/>
  <c r="R30" i="49" s="1"/>
  <c r="S30" i="49" s="1"/>
  <c r="F30" i="49"/>
  <c r="E30" i="49"/>
  <c r="G30" i="49" s="1"/>
  <c r="S29" i="49"/>
  <c r="AO29" i="49"/>
  <c r="AN29" i="49"/>
  <c r="AE29" i="49"/>
  <c r="AG29" i="49" s="1"/>
  <c r="AP29" i="49"/>
  <c r="BA29" i="49"/>
  <c r="BC29" i="49" s="1"/>
  <c r="AH29" i="49"/>
  <c r="T37" i="49"/>
  <c r="B33" i="49"/>
  <c r="AA32" i="49"/>
  <c r="AK32" i="49" s="1"/>
  <c r="AV32" i="49" s="1"/>
  <c r="I32" i="49"/>
  <c r="Q31" i="49"/>
  <c r="AD33" i="49"/>
  <c r="K29" i="49"/>
  <c r="L29" i="49"/>
  <c r="AW29" i="49"/>
  <c r="N29" i="49"/>
  <c r="O29" i="49" s="1"/>
  <c r="M28" i="49"/>
  <c r="U28" i="49" s="1"/>
  <c r="W28" i="49" s="1"/>
  <c r="Y28" i="49" s="1"/>
  <c r="V29" i="49" s="1"/>
  <c r="G32" i="52" l="1"/>
  <c r="BA32" i="52" s="1"/>
  <c r="BC32" i="52" s="1"/>
  <c r="AE31" i="52"/>
  <c r="AG31" i="52" s="1"/>
  <c r="N31" i="52"/>
  <c r="O31" i="52" s="1"/>
  <c r="BA31" i="52"/>
  <c r="BC31" i="52" s="1"/>
  <c r="AT29" i="50"/>
  <c r="AQ30" i="50" s="1"/>
  <c r="AI30" i="52"/>
  <c r="AF31" i="52" s="1"/>
  <c r="AH31" i="52" s="1"/>
  <c r="AI31" i="52" s="1"/>
  <c r="AF32" i="52" s="1"/>
  <c r="AT29" i="53"/>
  <c r="AQ30" i="53" s="1"/>
  <c r="AE30" i="53"/>
  <c r="AG30" i="53" s="1"/>
  <c r="AI30" i="50"/>
  <c r="AF31" i="50" s="1"/>
  <c r="BE29" i="49"/>
  <c r="BB30" i="49" s="1"/>
  <c r="BA30" i="53"/>
  <c r="BC30" i="53" s="1"/>
  <c r="M30" i="53"/>
  <c r="U30" i="53" s="1"/>
  <c r="W30" i="53" s="1"/>
  <c r="N30" i="53"/>
  <c r="O30" i="53" s="1"/>
  <c r="AS30" i="53"/>
  <c r="X30" i="53"/>
  <c r="AC32" i="53"/>
  <c r="E32" i="53"/>
  <c r="AB32" i="53"/>
  <c r="AL32" i="53" s="1"/>
  <c r="AM32" i="53"/>
  <c r="J32" i="53"/>
  <c r="R32" i="53" s="1"/>
  <c r="S32" i="53" s="1"/>
  <c r="F32" i="53"/>
  <c r="C33" i="53"/>
  <c r="AL31" i="53"/>
  <c r="S31" i="53"/>
  <c r="BA31" i="53"/>
  <c r="BC31" i="53" s="1"/>
  <c r="AE31" i="53"/>
  <c r="AG31" i="53" s="1"/>
  <c r="AP31" i="53"/>
  <c r="AN31" i="53"/>
  <c r="AO31" i="53"/>
  <c r="AD37" i="53"/>
  <c r="AH30" i="53"/>
  <c r="AI30" i="53" s="1"/>
  <c r="AF31" i="53" s="1"/>
  <c r="AR30" i="53"/>
  <c r="I33" i="53"/>
  <c r="Q32" i="53"/>
  <c r="BD30" i="53"/>
  <c r="B35" i="53"/>
  <c r="AA34" i="53"/>
  <c r="AK34" i="53" s="1"/>
  <c r="AV34" i="53" s="1"/>
  <c r="T34" i="53"/>
  <c r="BE30" i="52"/>
  <c r="BB31" i="52" s="1"/>
  <c r="BD31" i="52" s="1"/>
  <c r="Y30" i="52"/>
  <c r="V31" i="52" s="1"/>
  <c r="X31" i="52" s="1"/>
  <c r="Y31" i="52" s="1"/>
  <c r="V32" i="52" s="1"/>
  <c r="AD33" i="52"/>
  <c r="AB33" i="52"/>
  <c r="AL33" i="52" s="1"/>
  <c r="E33" i="52"/>
  <c r="F33" i="52"/>
  <c r="C34" i="52"/>
  <c r="AC33" i="52"/>
  <c r="J33" i="52"/>
  <c r="R33" i="52" s="1"/>
  <c r="S33" i="52" s="1"/>
  <c r="AM33" i="52"/>
  <c r="AO32" i="52"/>
  <c r="AN32" i="52"/>
  <c r="AR31" i="52"/>
  <c r="Q33" i="52"/>
  <c r="I34" i="52"/>
  <c r="AA34" i="52"/>
  <c r="AK34" i="52" s="1"/>
  <c r="AV34" i="52" s="1"/>
  <c r="B35" i="52"/>
  <c r="L32" i="52"/>
  <c r="K32" i="52"/>
  <c r="AW32" i="52"/>
  <c r="S32" i="52"/>
  <c r="AS30" i="52"/>
  <c r="AT30" i="52" s="1"/>
  <c r="AQ31" i="52" s="1"/>
  <c r="T35" i="52"/>
  <c r="BE30" i="50"/>
  <c r="BB31" i="50" s="1"/>
  <c r="BD31" i="50" s="1"/>
  <c r="AH31" i="50"/>
  <c r="L31" i="50"/>
  <c r="M31" i="50" s="1"/>
  <c r="U31" i="50" s="1"/>
  <c r="W31" i="50" s="1"/>
  <c r="K31" i="50"/>
  <c r="AW31" i="50"/>
  <c r="N31" i="50"/>
  <c r="X30" i="50"/>
  <c r="K30" i="50"/>
  <c r="L30" i="50"/>
  <c r="AW30" i="50"/>
  <c r="N30" i="50"/>
  <c r="O30" i="50" s="1"/>
  <c r="T33" i="50"/>
  <c r="AD35" i="50"/>
  <c r="AR30" i="50"/>
  <c r="I38" i="50"/>
  <c r="Q37" i="50"/>
  <c r="AP31" i="50"/>
  <c r="BA31" i="50"/>
  <c r="BC31" i="50" s="1"/>
  <c r="AE31" i="50"/>
  <c r="AG31" i="50" s="1"/>
  <c r="AS30" i="50"/>
  <c r="AO31" i="50"/>
  <c r="AN31" i="50"/>
  <c r="E32" i="50"/>
  <c r="C33" i="50"/>
  <c r="AM32" i="50"/>
  <c r="J32" i="50"/>
  <c r="R32" i="50" s="1"/>
  <c r="S32" i="50" s="1"/>
  <c r="F32" i="50"/>
  <c r="AC32" i="50"/>
  <c r="AB32" i="50"/>
  <c r="AL32" i="50" s="1"/>
  <c r="B34" i="50"/>
  <c r="AA33" i="50"/>
  <c r="AK33" i="50" s="1"/>
  <c r="AV33" i="50" s="1"/>
  <c r="AI29" i="49"/>
  <c r="AF30" i="49" s="1"/>
  <c r="AH30" i="49" s="1"/>
  <c r="BD30" i="49"/>
  <c r="I33" i="49"/>
  <c r="Q32" i="49"/>
  <c r="AP30" i="49"/>
  <c r="BA30" i="49"/>
  <c r="BC30" i="49" s="1"/>
  <c r="AE30" i="49"/>
  <c r="AG30" i="49" s="1"/>
  <c r="X29" i="49"/>
  <c r="AD34" i="49"/>
  <c r="M29" i="49"/>
  <c r="U29" i="49" s="1"/>
  <c r="W29" i="49" s="1"/>
  <c r="Y29" i="49" s="1"/>
  <c r="V30" i="49" s="1"/>
  <c r="AR29" i="49"/>
  <c r="AT29" i="49" s="1"/>
  <c r="AQ30" i="49" s="1"/>
  <c r="B34" i="49"/>
  <c r="AA33" i="49"/>
  <c r="AK33" i="49" s="1"/>
  <c r="AV33" i="49" s="1"/>
  <c r="J31" i="49"/>
  <c r="R31" i="49" s="1"/>
  <c r="AM31" i="49"/>
  <c r="F31" i="49"/>
  <c r="E31" i="49"/>
  <c r="G31" i="49" s="1"/>
  <c r="C32" i="49"/>
  <c r="AC31" i="49"/>
  <c r="AB31" i="49"/>
  <c r="AL31" i="49" s="1"/>
  <c r="T38" i="49"/>
  <c r="AL30" i="49"/>
  <c r="AN30" i="49"/>
  <c r="AO30" i="49"/>
  <c r="N32" i="52" l="1"/>
  <c r="O32" i="52" s="1"/>
  <c r="M32" i="52"/>
  <c r="U32" i="52" s="1"/>
  <c r="AE32" i="52"/>
  <c r="AG32" i="52" s="1"/>
  <c r="AP32" i="52"/>
  <c r="O31" i="50"/>
  <c r="AT30" i="50"/>
  <c r="AQ31" i="50" s="1"/>
  <c r="AT30" i="53"/>
  <c r="AQ31" i="53" s="1"/>
  <c r="AS31" i="53" s="1"/>
  <c r="Y30" i="53"/>
  <c r="V31" i="53" s="1"/>
  <c r="BE31" i="52"/>
  <c r="BB32" i="52" s="1"/>
  <c r="BD32" i="52" s="1"/>
  <c r="BE32" i="52" s="1"/>
  <c r="BB33" i="52" s="1"/>
  <c r="AI31" i="50"/>
  <c r="AF32" i="50" s="1"/>
  <c r="AH32" i="50" s="1"/>
  <c r="BE30" i="53"/>
  <c r="BB31" i="53" s="1"/>
  <c r="BD31" i="53" s="1"/>
  <c r="I34" i="53"/>
  <c r="Q33" i="53"/>
  <c r="K31" i="53"/>
  <c r="AW31" i="53"/>
  <c r="L31" i="53"/>
  <c r="N31" i="53"/>
  <c r="O31" i="53" s="1"/>
  <c r="AB33" i="53"/>
  <c r="C34" i="53"/>
  <c r="AC33" i="53"/>
  <c r="AM33" i="53"/>
  <c r="J33" i="53"/>
  <c r="R33" i="53" s="1"/>
  <c r="F33" i="53"/>
  <c r="E33" i="53"/>
  <c r="AO32" i="53"/>
  <c r="AN32" i="53"/>
  <c r="L32" i="53"/>
  <c r="AW32" i="53"/>
  <c r="K32" i="53"/>
  <c r="G32" i="53"/>
  <c r="T35" i="53"/>
  <c r="AH31" i="53"/>
  <c r="AI31" i="53"/>
  <c r="AF32" i="53" s="1"/>
  <c r="X31" i="53"/>
  <c r="AD38" i="53"/>
  <c r="AA35" i="53"/>
  <c r="AK35" i="53" s="1"/>
  <c r="AV35" i="53" s="1"/>
  <c r="B36" i="53"/>
  <c r="AR31" i="53"/>
  <c r="X32" i="52"/>
  <c r="AO33" i="52"/>
  <c r="AN33" i="52"/>
  <c r="G33" i="52"/>
  <c r="N33" i="52" s="1"/>
  <c r="AS31" i="52"/>
  <c r="AT31" i="52" s="1"/>
  <c r="AQ32" i="52" s="1"/>
  <c r="AR32" i="52"/>
  <c r="AM34" i="52"/>
  <c r="AC34" i="52"/>
  <c r="AB34" i="52"/>
  <c r="AL34" i="52" s="1"/>
  <c r="C35" i="52"/>
  <c r="F34" i="52"/>
  <c r="J34" i="52"/>
  <c r="R34" i="52" s="1"/>
  <c r="S34" i="52" s="1"/>
  <c r="E34" i="52"/>
  <c r="T36" i="52"/>
  <c r="AW33" i="52"/>
  <c r="L33" i="52"/>
  <c r="K33" i="52"/>
  <c r="W32" i="52"/>
  <c r="AD34" i="52"/>
  <c r="AA35" i="52"/>
  <c r="AK35" i="52" s="1"/>
  <c r="AV35" i="52" s="1"/>
  <c r="B36" i="52"/>
  <c r="I35" i="52"/>
  <c r="Q34" i="52"/>
  <c r="AH32" i="52"/>
  <c r="AI32" i="52" s="1"/>
  <c r="AF33" i="52" s="1"/>
  <c r="BE31" i="50"/>
  <c r="BB32" i="50" s="1"/>
  <c r="BD32" i="50" s="1"/>
  <c r="G32" i="50"/>
  <c r="AP32" i="50" s="1"/>
  <c r="AR31" i="50"/>
  <c r="AN32" i="50"/>
  <c r="AO32" i="50"/>
  <c r="J33" i="50"/>
  <c r="R33" i="50" s="1"/>
  <c r="S33" i="50" s="1"/>
  <c r="C34" i="50"/>
  <c r="AC33" i="50"/>
  <c r="F33" i="50"/>
  <c r="E33" i="50"/>
  <c r="AM33" i="50"/>
  <c r="AB33" i="50"/>
  <c r="Q38" i="50"/>
  <c r="I39" i="50"/>
  <c r="K32" i="50"/>
  <c r="AW32" i="50"/>
  <c r="L32" i="50"/>
  <c r="AD36" i="50"/>
  <c r="T34" i="50"/>
  <c r="AS31" i="50"/>
  <c r="M30" i="50"/>
  <c r="U30" i="50" s="1"/>
  <c r="W30" i="50" s="1"/>
  <c r="Y30" i="50" s="1"/>
  <c r="V31" i="50" s="1"/>
  <c r="AA34" i="50"/>
  <c r="AK34" i="50" s="1"/>
  <c r="AV34" i="50" s="1"/>
  <c r="B35" i="50"/>
  <c r="AI30" i="49"/>
  <c r="AF31" i="49" s="1"/>
  <c r="AH31" i="49" s="1"/>
  <c r="BE30" i="49"/>
  <c r="BB31" i="49" s="1"/>
  <c r="BD31" i="49" s="1"/>
  <c r="AD35" i="49"/>
  <c r="X30" i="49"/>
  <c r="AM32" i="49"/>
  <c r="AC32" i="49"/>
  <c r="F32" i="49"/>
  <c r="E32" i="49"/>
  <c r="G32" i="49" s="1"/>
  <c r="AB32" i="49"/>
  <c r="AL32" i="49" s="1"/>
  <c r="J32" i="49"/>
  <c r="R32" i="49" s="1"/>
  <c r="S32" i="49" s="1"/>
  <c r="C33" i="49"/>
  <c r="AE31" i="49"/>
  <c r="AG31" i="49" s="1"/>
  <c r="AP31" i="49"/>
  <c r="BA31" i="49"/>
  <c r="BC31" i="49" s="1"/>
  <c r="AO31" i="49"/>
  <c r="AN31" i="49"/>
  <c r="AR31" i="49" s="1"/>
  <c r="K31" i="49"/>
  <c r="L31" i="49"/>
  <c r="M31" i="49" s="1"/>
  <c r="U31" i="49" s="1"/>
  <c r="AW31" i="49"/>
  <c r="N31" i="49"/>
  <c r="S31" i="49"/>
  <c r="I34" i="49"/>
  <c r="Q33" i="49"/>
  <c r="B35" i="49"/>
  <c r="AA34" i="49"/>
  <c r="AK34" i="49" s="1"/>
  <c r="AV34" i="49" s="1"/>
  <c r="AR30" i="49"/>
  <c r="L30" i="49"/>
  <c r="K30" i="49"/>
  <c r="AW30" i="49"/>
  <c r="N30" i="49"/>
  <c r="AS30" i="49"/>
  <c r="AT30" i="49" s="1"/>
  <c r="AQ31" i="49" s="1"/>
  <c r="T39" i="49"/>
  <c r="O33" i="52" l="1"/>
  <c r="O30" i="49"/>
  <c r="O31" i="49"/>
  <c r="AT31" i="50"/>
  <c r="AQ32" i="50" s="1"/>
  <c r="W31" i="49"/>
  <c r="G33" i="53"/>
  <c r="AE33" i="53" s="1"/>
  <c r="AG33" i="53" s="1"/>
  <c r="AT31" i="53"/>
  <c r="AQ32" i="53" s="1"/>
  <c r="AS32" i="53" s="1"/>
  <c r="BE31" i="53"/>
  <c r="BB32" i="53" s="1"/>
  <c r="BD32" i="53" s="1"/>
  <c r="Y32" i="52"/>
  <c r="V33" i="52" s="1"/>
  <c r="X33" i="52" s="1"/>
  <c r="AI31" i="49"/>
  <c r="AF32" i="49" s="1"/>
  <c r="AH32" i="49" s="1"/>
  <c r="AL33" i="53"/>
  <c r="AH32" i="53"/>
  <c r="T36" i="53"/>
  <c r="BA32" i="53"/>
  <c r="BC32" i="53" s="1"/>
  <c r="AP32" i="53"/>
  <c r="AR32" i="53" s="1"/>
  <c r="AE32" i="53"/>
  <c r="AG32" i="53" s="1"/>
  <c r="M31" i="53"/>
  <c r="U31" i="53" s="1"/>
  <c r="W31" i="53" s="1"/>
  <c r="Y31" i="53" s="1"/>
  <c r="V32" i="53" s="1"/>
  <c r="N32" i="53"/>
  <c r="O32" i="53" s="1"/>
  <c r="Q34" i="53"/>
  <c r="I35" i="53"/>
  <c r="M32" i="53"/>
  <c r="U32" i="53" s="1"/>
  <c r="W32" i="53" s="1"/>
  <c r="B37" i="53"/>
  <c r="AA36" i="53"/>
  <c r="AK36" i="53" s="1"/>
  <c r="AV36" i="53" s="1"/>
  <c r="S33" i="53"/>
  <c r="AO33" i="53"/>
  <c r="AN33" i="53"/>
  <c r="AD39" i="53"/>
  <c r="C35" i="53"/>
  <c r="J34" i="53"/>
  <c r="R34" i="53" s="1"/>
  <c r="S34" i="53" s="1"/>
  <c r="AC34" i="53"/>
  <c r="AB34" i="53"/>
  <c r="AL34" i="53" s="1"/>
  <c r="AM34" i="53"/>
  <c r="F34" i="53"/>
  <c r="E34" i="53"/>
  <c r="G34" i="52"/>
  <c r="AE34" i="52" s="1"/>
  <c r="AG34" i="52" s="1"/>
  <c r="BD33" i="52"/>
  <c r="F35" i="52"/>
  <c r="E35" i="52"/>
  <c r="G35" i="52" s="1"/>
  <c r="AM35" i="52"/>
  <c r="AC35" i="52"/>
  <c r="AB35" i="52"/>
  <c r="AL35" i="52" s="1"/>
  <c r="J35" i="52"/>
  <c r="R35" i="52" s="1"/>
  <c r="S35" i="52" s="1"/>
  <c r="C36" i="52"/>
  <c r="T37" i="52"/>
  <c r="Q35" i="52"/>
  <c r="I36" i="52"/>
  <c r="L34" i="52"/>
  <c r="AW34" i="52"/>
  <c r="K34" i="52"/>
  <c r="AA36" i="52"/>
  <c r="AK36" i="52" s="1"/>
  <c r="AV36" i="52" s="1"/>
  <c r="B37" i="52"/>
  <c r="AO34" i="52"/>
  <c r="AN34" i="52"/>
  <c r="AS32" i="52"/>
  <c r="AT32" i="52" s="1"/>
  <c r="AQ33" i="52" s="1"/>
  <c r="BA33" i="52"/>
  <c r="BC33" i="52" s="1"/>
  <c r="AP33" i="52"/>
  <c r="AR33" i="52" s="1"/>
  <c r="AE33" i="52"/>
  <c r="AG33" i="52" s="1"/>
  <c r="AH33" i="52"/>
  <c r="AD35" i="52"/>
  <c r="M33" i="52"/>
  <c r="U33" i="52" s="1"/>
  <c r="W33" i="52" s="1"/>
  <c r="N32" i="50"/>
  <c r="O32" i="50" s="1"/>
  <c r="G33" i="50"/>
  <c r="AE33" i="50" s="1"/>
  <c r="AG33" i="50" s="1"/>
  <c r="BA32" i="50"/>
  <c r="BC32" i="50" s="1"/>
  <c r="BE32" i="50" s="1"/>
  <c r="BB33" i="50" s="1"/>
  <c r="BD33" i="50" s="1"/>
  <c r="AE32" i="50"/>
  <c r="AG32" i="50" s="1"/>
  <c r="AI32" i="50" s="1"/>
  <c r="AF33" i="50" s="1"/>
  <c r="AH33" i="50" s="1"/>
  <c r="AL33" i="50"/>
  <c r="T35" i="50"/>
  <c r="B36" i="50"/>
  <c r="AA35" i="50"/>
  <c r="AK35" i="50" s="1"/>
  <c r="AV35" i="50" s="1"/>
  <c r="AD37" i="50"/>
  <c r="X31" i="50"/>
  <c r="Y31" i="50" s="1"/>
  <c r="V32" i="50" s="1"/>
  <c r="AR32" i="50"/>
  <c r="AO33" i="50"/>
  <c r="AN33" i="50"/>
  <c r="M32" i="50"/>
  <c r="U32" i="50" s="1"/>
  <c r="W32" i="50" s="1"/>
  <c r="AS32" i="50"/>
  <c r="AM34" i="50"/>
  <c r="AB34" i="50"/>
  <c r="AL34" i="50" s="1"/>
  <c r="C35" i="50"/>
  <c r="J34" i="50"/>
  <c r="R34" i="50" s="1"/>
  <c r="S34" i="50" s="1"/>
  <c r="F34" i="50"/>
  <c r="E34" i="50"/>
  <c r="AC34" i="50"/>
  <c r="I40" i="50"/>
  <c r="Q39" i="50"/>
  <c r="BE31" i="49"/>
  <c r="BB32" i="49" s="1"/>
  <c r="BD32" i="49" s="1"/>
  <c r="AS31" i="49"/>
  <c r="AT31" i="49" s="1"/>
  <c r="AQ32" i="49" s="1"/>
  <c r="L32" i="49"/>
  <c r="M32" i="49" s="1"/>
  <c r="U32" i="49" s="1"/>
  <c r="W32" i="49" s="1"/>
  <c r="K32" i="49"/>
  <c r="AW32" i="49"/>
  <c r="N32" i="49"/>
  <c r="T40" i="49"/>
  <c r="AP32" i="49"/>
  <c r="BA32" i="49"/>
  <c r="BC32" i="49" s="1"/>
  <c r="AE32" i="49"/>
  <c r="AG32" i="49" s="1"/>
  <c r="AN32" i="49"/>
  <c r="AO32" i="49"/>
  <c r="AD36" i="49"/>
  <c r="M30" i="49"/>
  <c r="U30" i="49" s="1"/>
  <c r="W30" i="49" s="1"/>
  <c r="Y30" i="49" s="1"/>
  <c r="V31" i="49" s="1"/>
  <c r="AA35" i="49"/>
  <c r="AK35" i="49" s="1"/>
  <c r="AV35" i="49" s="1"/>
  <c r="B36" i="49"/>
  <c r="J33" i="49"/>
  <c r="R33" i="49" s="1"/>
  <c r="AM33" i="49"/>
  <c r="AB33" i="49"/>
  <c r="AL33" i="49" s="1"/>
  <c r="C34" i="49"/>
  <c r="E33" i="49"/>
  <c r="AC33" i="49"/>
  <c r="F33" i="49"/>
  <c r="I35" i="49"/>
  <c r="Q34" i="49"/>
  <c r="BE32" i="53" l="1"/>
  <c r="BB33" i="53" s="1"/>
  <c r="G34" i="50"/>
  <c r="O32" i="49"/>
  <c r="AI32" i="53"/>
  <c r="AF33" i="53" s="1"/>
  <c r="BA33" i="53"/>
  <c r="BC33" i="53" s="1"/>
  <c r="BE33" i="53" s="1"/>
  <c r="BB34" i="53" s="1"/>
  <c r="AP33" i="53"/>
  <c r="BE33" i="52"/>
  <c r="BB34" i="52" s="1"/>
  <c r="BD34" i="52" s="1"/>
  <c r="N34" i="52"/>
  <c r="O34" i="52" s="1"/>
  <c r="M34" i="52"/>
  <c r="U34" i="52" s="1"/>
  <c r="W34" i="52" s="1"/>
  <c r="Y33" i="52"/>
  <c r="V34" i="52" s="1"/>
  <c r="X34" i="52" s="1"/>
  <c r="Y34" i="52" s="1"/>
  <c r="V35" i="52" s="1"/>
  <c r="BA34" i="52"/>
  <c r="BC34" i="52" s="1"/>
  <c r="AP34" i="52"/>
  <c r="AR34" i="52" s="1"/>
  <c r="AI32" i="49"/>
  <c r="AF33" i="49" s="1"/>
  <c r="AH33" i="49" s="1"/>
  <c r="G34" i="53"/>
  <c r="BA34" i="53" s="1"/>
  <c r="BC34" i="53" s="1"/>
  <c r="AT32" i="53"/>
  <c r="AQ33" i="53" s="1"/>
  <c r="AS33" i="53" s="1"/>
  <c r="AR33" i="53"/>
  <c r="L34" i="53"/>
  <c r="K34" i="53"/>
  <c r="AW34" i="53"/>
  <c r="X32" i="53"/>
  <c r="Y32" i="53" s="1"/>
  <c r="V33" i="53" s="1"/>
  <c r="T37" i="53"/>
  <c r="I36" i="53"/>
  <c r="Q35" i="53"/>
  <c r="BD33" i="53"/>
  <c r="AN34" i="53"/>
  <c r="AO34" i="53"/>
  <c r="AM35" i="53"/>
  <c r="AC35" i="53"/>
  <c r="AB35" i="53"/>
  <c r="AL35" i="53" s="1"/>
  <c r="J35" i="53"/>
  <c r="R35" i="53" s="1"/>
  <c r="S35" i="53" s="1"/>
  <c r="E35" i="53"/>
  <c r="C36" i="53"/>
  <c r="F35" i="53"/>
  <c r="AD40" i="53"/>
  <c r="B38" i="53"/>
  <c r="AA37" i="53"/>
  <c r="AK37" i="53" s="1"/>
  <c r="AV37" i="53" s="1"/>
  <c r="AH33" i="53"/>
  <c r="AI33" i="53" s="1"/>
  <c r="AF34" i="53" s="1"/>
  <c r="L33" i="53"/>
  <c r="AW33" i="53"/>
  <c r="K33" i="53"/>
  <c r="N33" i="53"/>
  <c r="AI33" i="52"/>
  <c r="AF34" i="52" s="1"/>
  <c r="AH34" i="52" s="1"/>
  <c r="AS33" i="52"/>
  <c r="AT33" i="52" s="1"/>
  <c r="AQ34" i="52" s="1"/>
  <c r="T38" i="52"/>
  <c r="Q36" i="52"/>
  <c r="I37" i="52"/>
  <c r="AD36" i="52"/>
  <c r="AA37" i="52"/>
  <c r="AK37" i="52" s="1"/>
  <c r="AV37" i="52" s="1"/>
  <c r="B38" i="52"/>
  <c r="J36" i="52"/>
  <c r="R36" i="52" s="1"/>
  <c r="S36" i="52" s="1"/>
  <c r="AB36" i="52"/>
  <c r="AL36" i="52" s="1"/>
  <c r="AC36" i="52"/>
  <c r="C37" i="52"/>
  <c r="AM36" i="52"/>
  <c r="E36" i="52"/>
  <c r="F36" i="52"/>
  <c r="N35" i="52"/>
  <c r="L35" i="52"/>
  <c r="M35" i="52" s="1"/>
  <c r="U35" i="52" s="1"/>
  <c r="W35" i="52" s="1"/>
  <c r="K35" i="52"/>
  <c r="AW35" i="52"/>
  <c r="AN35" i="52"/>
  <c r="AO35" i="52"/>
  <c r="AE35" i="52"/>
  <c r="AG35" i="52" s="1"/>
  <c r="BA35" i="52"/>
  <c r="BC35" i="52" s="1"/>
  <c r="AP35" i="52"/>
  <c r="AP33" i="50"/>
  <c r="AR33" i="50" s="1"/>
  <c r="BA33" i="50"/>
  <c r="BC33" i="50" s="1"/>
  <c r="BE33" i="50" s="1"/>
  <c r="BB34" i="50" s="1"/>
  <c r="BD34" i="50" s="1"/>
  <c r="AT32" i="50"/>
  <c r="AQ33" i="50" s="1"/>
  <c r="AS33" i="50" s="1"/>
  <c r="AI33" i="50"/>
  <c r="AF34" i="50" s="1"/>
  <c r="AH34" i="50"/>
  <c r="AD38" i="50"/>
  <c r="AE34" i="50"/>
  <c r="AG34" i="50" s="1"/>
  <c r="AI34" i="50" s="1"/>
  <c r="AF35" i="50" s="1"/>
  <c r="AP34" i="50"/>
  <c r="BA34" i="50"/>
  <c r="BC34" i="50" s="1"/>
  <c r="B37" i="50"/>
  <c r="AA36" i="50"/>
  <c r="AK36" i="50" s="1"/>
  <c r="AV36" i="50" s="1"/>
  <c r="AO34" i="50"/>
  <c r="AN34" i="50"/>
  <c r="X32" i="50"/>
  <c r="Y32" i="50"/>
  <c r="V33" i="50" s="1"/>
  <c r="I41" i="50"/>
  <c r="Q40" i="50"/>
  <c r="T36" i="50"/>
  <c r="AM35" i="50"/>
  <c r="C36" i="50"/>
  <c r="E35" i="50"/>
  <c r="F35" i="50"/>
  <c r="AC35" i="50"/>
  <c r="AB35" i="50"/>
  <c r="AL35" i="50" s="1"/>
  <c r="J35" i="50"/>
  <c r="R35" i="50" s="1"/>
  <c r="S35" i="50" s="1"/>
  <c r="K34" i="50"/>
  <c r="L34" i="50"/>
  <c r="M34" i="50" s="1"/>
  <c r="U34" i="50" s="1"/>
  <c r="W34" i="50" s="1"/>
  <c r="AW34" i="50"/>
  <c r="N34" i="50"/>
  <c r="AW33" i="50"/>
  <c r="L33" i="50"/>
  <c r="K33" i="50"/>
  <c r="N33" i="50"/>
  <c r="BE32" i="49"/>
  <c r="BB33" i="49" s="1"/>
  <c r="BD33" i="49" s="1"/>
  <c r="AR32" i="49"/>
  <c r="X31" i="49"/>
  <c r="Y31" i="49" s="1"/>
  <c r="V32" i="49" s="1"/>
  <c r="T41" i="49"/>
  <c r="AM34" i="49"/>
  <c r="E34" i="49"/>
  <c r="AB34" i="49"/>
  <c r="AL34" i="49" s="1"/>
  <c r="C35" i="49"/>
  <c r="AC34" i="49"/>
  <c r="J34" i="49"/>
  <c r="R34" i="49" s="1"/>
  <c r="S34" i="49" s="1"/>
  <c r="F34" i="49"/>
  <c r="S33" i="49"/>
  <c r="AD37" i="49"/>
  <c r="AS32" i="49"/>
  <c r="I36" i="49"/>
  <c r="Q35" i="49"/>
  <c r="G33" i="49"/>
  <c r="N33" i="49" s="1"/>
  <c r="K33" i="49"/>
  <c r="L33" i="49"/>
  <c r="AW33" i="49"/>
  <c r="AO33" i="49"/>
  <c r="AN33" i="49"/>
  <c r="B37" i="49"/>
  <c r="AA36" i="49"/>
  <c r="AK36" i="49" s="1"/>
  <c r="AV36" i="49" s="1"/>
  <c r="O33" i="53" l="1"/>
  <c r="O33" i="50"/>
  <c r="O34" i="50"/>
  <c r="AR34" i="50"/>
  <c r="AI34" i="52"/>
  <c r="AF35" i="52" s="1"/>
  <c r="AH35" i="52" s="1"/>
  <c r="AI35" i="52" s="1"/>
  <c r="AF36" i="52" s="1"/>
  <c r="O33" i="49"/>
  <c r="BE34" i="52"/>
  <c r="BB35" i="52" s="1"/>
  <c r="M34" i="53"/>
  <c r="U34" i="53" s="1"/>
  <c r="W34" i="53" s="1"/>
  <c r="AE34" i="53"/>
  <c r="AG34" i="53" s="1"/>
  <c r="AP34" i="53"/>
  <c r="AR34" i="53" s="1"/>
  <c r="AT33" i="53"/>
  <c r="AQ34" i="53" s="1"/>
  <c r="AS34" i="53" s="1"/>
  <c r="N34" i="53"/>
  <c r="O34" i="53" s="1"/>
  <c r="G35" i="53"/>
  <c r="AE35" i="53" s="1"/>
  <c r="AG35" i="53" s="1"/>
  <c r="AH34" i="53"/>
  <c r="AD41" i="53"/>
  <c r="I37" i="53"/>
  <c r="Q36" i="53"/>
  <c r="T38" i="53"/>
  <c r="C37" i="53"/>
  <c r="AC36" i="53"/>
  <c r="AB36" i="53"/>
  <c r="AL36" i="53" s="1"/>
  <c r="AM36" i="53"/>
  <c r="J36" i="53"/>
  <c r="R36" i="53" s="1"/>
  <c r="S36" i="53" s="1"/>
  <c r="F36" i="53"/>
  <c r="E36" i="53"/>
  <c r="AA38" i="53"/>
  <c r="AK38" i="53" s="1"/>
  <c r="AV38" i="53" s="1"/>
  <c r="B39" i="53"/>
  <c r="BD34" i="53"/>
  <c r="BE34" i="53" s="1"/>
  <c r="BB35" i="53" s="1"/>
  <c r="X33" i="53"/>
  <c r="AW35" i="53"/>
  <c r="K35" i="53"/>
  <c r="L35" i="53"/>
  <c r="AN35" i="53"/>
  <c r="AO35" i="53"/>
  <c r="M33" i="53"/>
  <c r="U33" i="53" s="1"/>
  <c r="W33" i="53" s="1"/>
  <c r="BD35" i="52"/>
  <c r="BE35" i="52" s="1"/>
  <c r="BB36" i="52" s="1"/>
  <c r="AA38" i="52"/>
  <c r="AK38" i="52" s="1"/>
  <c r="AV38" i="52" s="1"/>
  <c r="B39" i="52"/>
  <c r="Q37" i="52"/>
  <c r="I38" i="52"/>
  <c r="G36" i="52"/>
  <c r="X35" i="52"/>
  <c r="Y35" i="52" s="1"/>
  <c r="V36" i="52" s="1"/>
  <c r="C38" i="52"/>
  <c r="AB37" i="52"/>
  <c r="AL37" i="52" s="1"/>
  <c r="AC37" i="52"/>
  <c r="AM37" i="52"/>
  <c r="J37" i="52"/>
  <c r="R37" i="52" s="1"/>
  <c r="S37" i="52" s="1"/>
  <c r="F37" i="52"/>
  <c r="E37" i="52"/>
  <c r="G37" i="52" s="1"/>
  <c r="AR35" i="52"/>
  <c r="AD37" i="52"/>
  <c r="O35" i="52"/>
  <c r="T39" i="52"/>
  <c r="AO36" i="52"/>
  <c r="AN36" i="52"/>
  <c r="AS34" i="52"/>
  <c r="AT34" i="52" s="1"/>
  <c r="AQ35" i="52" s="1"/>
  <c r="L36" i="52"/>
  <c r="AW36" i="52"/>
  <c r="K36" i="52"/>
  <c r="N36" i="52"/>
  <c r="AT33" i="50"/>
  <c r="AQ34" i="50" s="1"/>
  <c r="AS34" i="50" s="1"/>
  <c r="BE34" i="50"/>
  <c r="BB35" i="50" s="1"/>
  <c r="BD35" i="50" s="1"/>
  <c r="AH35" i="50"/>
  <c r="I42" i="50"/>
  <c r="Q41" i="50"/>
  <c r="X33" i="50"/>
  <c r="M33" i="50"/>
  <c r="U33" i="50" s="1"/>
  <c r="W33" i="50" s="1"/>
  <c r="Y33" i="50" s="1"/>
  <c r="V34" i="50" s="1"/>
  <c r="AA37" i="50"/>
  <c r="AK37" i="50" s="1"/>
  <c r="AV37" i="50" s="1"/>
  <c r="B38" i="50"/>
  <c r="K35" i="50"/>
  <c r="AW35" i="50"/>
  <c r="L35" i="50"/>
  <c r="AD39" i="50"/>
  <c r="G35" i="50"/>
  <c r="F36" i="50"/>
  <c r="AM36" i="50"/>
  <c r="AC36" i="50"/>
  <c r="J36" i="50"/>
  <c r="R36" i="50" s="1"/>
  <c r="S36" i="50" s="1"/>
  <c r="E36" i="50"/>
  <c r="AB36" i="50"/>
  <c r="AL36" i="50" s="1"/>
  <c r="C37" i="50"/>
  <c r="AN35" i="50"/>
  <c r="AO35" i="50"/>
  <c r="T37" i="50"/>
  <c r="AT32" i="49"/>
  <c r="AQ33" i="49" s="1"/>
  <c r="AS33" i="49" s="1"/>
  <c r="X32" i="49"/>
  <c r="Y32" i="49" s="1"/>
  <c r="V33" i="49" s="1"/>
  <c r="J35" i="49"/>
  <c r="R35" i="49" s="1"/>
  <c r="AM35" i="49"/>
  <c r="F35" i="49"/>
  <c r="E35" i="49"/>
  <c r="C36" i="49"/>
  <c r="AC35" i="49"/>
  <c r="AB35" i="49"/>
  <c r="AL35" i="49" s="1"/>
  <c r="AD38" i="49"/>
  <c r="B38" i="49"/>
  <c r="AA37" i="49"/>
  <c r="AK37" i="49" s="1"/>
  <c r="AV37" i="49" s="1"/>
  <c r="L34" i="49"/>
  <c r="K34" i="49"/>
  <c r="AW34" i="49"/>
  <c r="G34" i="49"/>
  <c r="AN34" i="49"/>
  <c r="AO34" i="49"/>
  <c r="T42" i="49"/>
  <c r="M33" i="49"/>
  <c r="U33" i="49" s="1"/>
  <c r="W33" i="49" s="1"/>
  <c r="AE33" i="49"/>
  <c r="AG33" i="49" s="1"/>
  <c r="AI33" i="49" s="1"/>
  <c r="AF34" i="49" s="1"/>
  <c r="AP33" i="49"/>
  <c r="AR33" i="49" s="1"/>
  <c r="BA33" i="49"/>
  <c r="BC33" i="49" s="1"/>
  <c r="BE33" i="49" s="1"/>
  <c r="BB34" i="49" s="1"/>
  <c r="I37" i="49"/>
  <c r="Q36" i="49"/>
  <c r="AI34" i="53" l="1"/>
  <c r="AF35" i="53" s="1"/>
  <c r="N35" i="53"/>
  <c r="G35" i="49"/>
  <c r="O36" i="52"/>
  <c r="M36" i="52"/>
  <c r="U36" i="52" s="1"/>
  <c r="W36" i="52" s="1"/>
  <c r="AT34" i="53"/>
  <c r="AQ35" i="53" s="1"/>
  <c r="AS35" i="53" s="1"/>
  <c r="BA35" i="53"/>
  <c r="BC35" i="53" s="1"/>
  <c r="AP35" i="53"/>
  <c r="Y33" i="53"/>
  <c r="V34" i="53" s="1"/>
  <c r="G36" i="53"/>
  <c r="N36" i="53" s="1"/>
  <c r="BD35" i="53"/>
  <c r="X34" i="53"/>
  <c r="Y34" i="53" s="1"/>
  <c r="V35" i="53" s="1"/>
  <c r="AA39" i="53"/>
  <c r="AK39" i="53" s="1"/>
  <c r="AV39" i="53" s="1"/>
  <c r="B40" i="53"/>
  <c r="M35" i="53"/>
  <c r="U35" i="53" s="1"/>
  <c r="W35" i="53" s="1"/>
  <c r="AO36" i="53"/>
  <c r="AN36" i="53"/>
  <c r="L36" i="53"/>
  <c r="K36" i="53"/>
  <c r="M36" i="53"/>
  <c r="U36" i="53" s="1"/>
  <c r="W36" i="53" s="1"/>
  <c r="AW36" i="53"/>
  <c r="Q37" i="53"/>
  <c r="I38" i="53"/>
  <c r="AD42" i="53"/>
  <c r="C38" i="53"/>
  <c r="AC37" i="53"/>
  <c r="AB37" i="53"/>
  <c r="AL37" i="53" s="1"/>
  <c r="AM37" i="53"/>
  <c r="J37" i="53"/>
  <c r="R37" i="53" s="1"/>
  <c r="S37" i="53" s="1"/>
  <c r="F37" i="53"/>
  <c r="E37" i="53"/>
  <c r="G37" i="53" s="1"/>
  <c r="T39" i="53"/>
  <c r="AR35" i="53"/>
  <c r="AH35" i="53"/>
  <c r="AI35" i="53" s="1"/>
  <c r="AF36" i="53" s="1"/>
  <c r="O35" i="53"/>
  <c r="X36" i="52"/>
  <c r="Y36" i="52" s="1"/>
  <c r="V37" i="52" s="1"/>
  <c r="AH36" i="52"/>
  <c r="AN37" i="52"/>
  <c r="AO37" i="52"/>
  <c r="L37" i="52"/>
  <c r="M37" i="52" s="1"/>
  <c r="U37" i="52" s="1"/>
  <c r="W37" i="52" s="1"/>
  <c r="K37" i="52"/>
  <c r="AW37" i="52"/>
  <c r="N37" i="52"/>
  <c r="AS35" i="52"/>
  <c r="AT35" i="52"/>
  <c r="AQ36" i="52" s="1"/>
  <c r="AA39" i="52"/>
  <c r="AK39" i="52" s="1"/>
  <c r="AV39" i="52" s="1"/>
  <c r="B40" i="52"/>
  <c r="T40" i="52"/>
  <c r="BD36" i="52"/>
  <c r="AD38" i="52"/>
  <c r="AP37" i="52"/>
  <c r="AE37" i="52"/>
  <c r="AG37" i="52" s="1"/>
  <c r="BA37" i="52"/>
  <c r="BC37" i="52" s="1"/>
  <c r="AC38" i="52"/>
  <c r="E38" i="52"/>
  <c r="AB38" i="52"/>
  <c r="AL38" i="52" s="1"/>
  <c r="F38" i="52"/>
  <c r="J38" i="52"/>
  <c r="R38" i="52" s="1"/>
  <c r="S38" i="52" s="1"/>
  <c r="AM38" i="52"/>
  <c r="C39" i="52"/>
  <c r="AP36" i="52"/>
  <c r="AR36" i="52" s="1"/>
  <c r="BA36" i="52"/>
  <c r="BC36" i="52" s="1"/>
  <c r="AE36" i="52"/>
  <c r="AG36" i="52" s="1"/>
  <c r="I39" i="52"/>
  <c r="Q38" i="52"/>
  <c r="AT34" i="50"/>
  <c r="AQ35" i="50" s="1"/>
  <c r="AS35" i="50" s="1"/>
  <c r="G36" i="50"/>
  <c r="AE36" i="50" s="1"/>
  <c r="AG36" i="50" s="1"/>
  <c r="X34" i="50"/>
  <c r="Y34" i="50" s="1"/>
  <c r="V35" i="50" s="1"/>
  <c r="F37" i="50"/>
  <c r="AB37" i="50"/>
  <c r="AL37" i="50" s="1"/>
  <c r="AM37" i="50"/>
  <c r="J37" i="50"/>
  <c r="R37" i="50" s="1"/>
  <c r="S37" i="50" s="1"/>
  <c r="E37" i="50"/>
  <c r="G37" i="50" s="1"/>
  <c r="AC37" i="50"/>
  <c r="C38" i="50"/>
  <c r="K36" i="50"/>
  <c r="L36" i="50"/>
  <c r="AW36" i="50"/>
  <c r="AE35" i="50"/>
  <c r="AG35" i="50" s="1"/>
  <c r="AI35" i="50" s="1"/>
  <c r="AF36" i="50" s="1"/>
  <c r="AP35" i="50"/>
  <c r="AR35" i="50" s="1"/>
  <c r="BA35" i="50"/>
  <c r="BC35" i="50" s="1"/>
  <c r="BE35" i="50" s="1"/>
  <c r="BB36" i="50" s="1"/>
  <c r="AD40" i="50"/>
  <c r="B39" i="50"/>
  <c r="AA38" i="50"/>
  <c r="AK38" i="50" s="1"/>
  <c r="AV38" i="50" s="1"/>
  <c r="T38" i="50"/>
  <c r="AO36" i="50"/>
  <c r="AN36" i="50"/>
  <c r="N35" i="50"/>
  <c r="O35" i="50" s="1"/>
  <c r="Q42" i="50"/>
  <c r="I43" i="50"/>
  <c r="M35" i="50"/>
  <c r="U35" i="50" s="1"/>
  <c r="W35" i="50" s="1"/>
  <c r="AT33" i="49"/>
  <c r="AQ34" i="49" s="1"/>
  <c r="AS34" i="49" s="1"/>
  <c r="X33" i="49"/>
  <c r="Y33" i="49" s="1"/>
  <c r="V34" i="49" s="1"/>
  <c r="AH34" i="49"/>
  <c r="M34" i="49"/>
  <c r="U34" i="49" s="1"/>
  <c r="W34" i="49" s="1"/>
  <c r="B39" i="49"/>
  <c r="AA38" i="49"/>
  <c r="AK38" i="49" s="1"/>
  <c r="AV38" i="49" s="1"/>
  <c r="AC36" i="49"/>
  <c r="AB36" i="49"/>
  <c r="AL36" i="49" s="1"/>
  <c r="C37" i="49"/>
  <c r="AM36" i="49"/>
  <c r="E36" i="49"/>
  <c r="J36" i="49"/>
  <c r="R36" i="49" s="1"/>
  <c r="S36" i="49" s="1"/>
  <c r="F36" i="49"/>
  <c r="BD34" i="49"/>
  <c r="T43" i="49"/>
  <c r="AD39" i="49"/>
  <c r="K35" i="49"/>
  <c r="L35" i="49"/>
  <c r="M35" i="49" s="1"/>
  <c r="U35" i="49" s="1"/>
  <c r="AW35" i="49"/>
  <c r="N35" i="49"/>
  <c r="Q37" i="49"/>
  <c r="I38" i="49"/>
  <c r="AE35" i="49"/>
  <c r="AG35" i="49" s="1"/>
  <c r="AP35" i="49"/>
  <c r="BA35" i="49"/>
  <c r="BC35" i="49" s="1"/>
  <c r="AO35" i="49"/>
  <c r="AN35" i="49"/>
  <c r="S35" i="49"/>
  <c r="AP34" i="49"/>
  <c r="AR34" i="49" s="1"/>
  <c r="BA34" i="49"/>
  <c r="BC34" i="49" s="1"/>
  <c r="AE34" i="49"/>
  <c r="AG34" i="49" s="1"/>
  <c r="N34" i="49"/>
  <c r="O34" i="49" s="1"/>
  <c r="AT35" i="53" l="1"/>
  <c r="AQ36" i="53" s="1"/>
  <c r="O36" i="53"/>
  <c r="BE35" i="53"/>
  <c r="BB36" i="53" s="1"/>
  <c r="BD36" i="53" s="1"/>
  <c r="O35" i="49"/>
  <c r="W35" i="49"/>
  <c r="O37" i="52"/>
  <c r="AE36" i="53"/>
  <c r="AG36" i="53" s="1"/>
  <c r="BA36" i="53"/>
  <c r="BC36" i="53" s="1"/>
  <c r="AP36" i="53"/>
  <c r="AR36" i="53" s="1"/>
  <c r="AI36" i="52"/>
  <c r="AF37" i="52" s="1"/>
  <c r="AI34" i="49"/>
  <c r="AF35" i="49" s="1"/>
  <c r="AH35" i="49" s="1"/>
  <c r="AI35" i="49" s="1"/>
  <c r="AF36" i="49" s="1"/>
  <c r="AH36" i="53"/>
  <c r="AI36" i="53" s="1"/>
  <c r="AF37" i="53" s="1"/>
  <c r="X35" i="53"/>
  <c r="Y35" i="53" s="1"/>
  <c r="V36" i="53" s="1"/>
  <c r="T40" i="53"/>
  <c r="AE37" i="53"/>
  <c r="AG37" i="53" s="1"/>
  <c r="AP37" i="53"/>
  <c r="BA37" i="53"/>
  <c r="BC37" i="53" s="1"/>
  <c r="AN37" i="53"/>
  <c r="AO37" i="53"/>
  <c r="AS36" i="53"/>
  <c r="AD43" i="53"/>
  <c r="L37" i="53"/>
  <c r="K37" i="53"/>
  <c r="AW37" i="53"/>
  <c r="N37" i="53"/>
  <c r="O37" i="53" s="1"/>
  <c r="AB38" i="53"/>
  <c r="AL38" i="53" s="1"/>
  <c r="J38" i="53"/>
  <c r="R38" i="53" s="1"/>
  <c r="S38" i="53" s="1"/>
  <c r="F38" i="53"/>
  <c r="E38" i="53"/>
  <c r="C39" i="53"/>
  <c r="AM38" i="53"/>
  <c r="AC38" i="53"/>
  <c r="B41" i="53"/>
  <c r="AA40" i="53"/>
  <c r="AK40" i="53" s="1"/>
  <c r="AV40" i="53" s="1"/>
  <c r="I39" i="53"/>
  <c r="Q38" i="53"/>
  <c r="BE36" i="52"/>
  <c r="BB37" i="52" s="1"/>
  <c r="AH37" i="52"/>
  <c r="AI37" i="52" s="1"/>
  <c r="AF38" i="52" s="1"/>
  <c r="BD37" i="52"/>
  <c r="BE37" i="52" s="1"/>
  <c r="BB38" i="52" s="1"/>
  <c r="AA40" i="52"/>
  <c r="AK40" i="52" s="1"/>
  <c r="AV40" i="52" s="1"/>
  <c r="B41" i="52"/>
  <c r="AS36" i="52"/>
  <c r="AT36" i="52" s="1"/>
  <c r="AQ37" i="52" s="1"/>
  <c r="AM39" i="52"/>
  <c r="AC39" i="52"/>
  <c r="AB39" i="52"/>
  <c r="AL39" i="52" s="1"/>
  <c r="C40" i="52"/>
  <c r="J39" i="52"/>
  <c r="R39" i="52" s="1"/>
  <c r="S39" i="52" s="1"/>
  <c r="F39" i="52"/>
  <c r="E39" i="52"/>
  <c r="AO38" i="52"/>
  <c r="AN38" i="52"/>
  <c r="I40" i="52"/>
  <c r="Q39" i="52"/>
  <c r="AR37" i="52"/>
  <c r="L38" i="52"/>
  <c r="AW38" i="52"/>
  <c r="K38" i="52"/>
  <c r="G38" i="52"/>
  <c r="AD39" i="52"/>
  <c r="X37" i="52"/>
  <c r="Y37" i="52" s="1"/>
  <c r="V38" i="52" s="1"/>
  <c r="T41" i="52"/>
  <c r="N36" i="50"/>
  <c r="O36" i="50" s="1"/>
  <c r="AT35" i="50"/>
  <c r="AQ36" i="50" s="1"/>
  <c r="AS36" i="50" s="1"/>
  <c r="BA36" i="50"/>
  <c r="BC36" i="50" s="1"/>
  <c r="AP36" i="50"/>
  <c r="AR36" i="50" s="1"/>
  <c r="X35" i="50"/>
  <c r="Y35" i="50" s="1"/>
  <c r="V36" i="50" s="1"/>
  <c r="AH36" i="50"/>
  <c r="AI36" i="50" s="1"/>
  <c r="AF37" i="50" s="1"/>
  <c r="BA37" i="50"/>
  <c r="BC37" i="50" s="1"/>
  <c r="AE37" i="50"/>
  <c r="AG37" i="50" s="1"/>
  <c r="AP37" i="50"/>
  <c r="I44" i="50"/>
  <c r="Q43" i="50"/>
  <c r="J38" i="50"/>
  <c r="R38" i="50" s="1"/>
  <c r="S38" i="50" s="1"/>
  <c r="C39" i="50"/>
  <c r="AC38" i="50"/>
  <c r="AB38" i="50"/>
  <c r="AL38" i="50" s="1"/>
  <c r="F38" i="50"/>
  <c r="AM38" i="50"/>
  <c r="E38" i="50"/>
  <c r="AN37" i="50"/>
  <c r="AO37" i="50"/>
  <c r="K37" i="50"/>
  <c r="AW37" i="50"/>
  <c r="L37" i="50"/>
  <c r="M37" i="50" s="1"/>
  <c r="U37" i="50" s="1"/>
  <c r="W37" i="50" s="1"/>
  <c r="N37" i="50"/>
  <c r="BD36" i="50"/>
  <c r="M36" i="50"/>
  <c r="U36" i="50" s="1"/>
  <c r="W36" i="50" s="1"/>
  <c r="T39" i="50"/>
  <c r="AA39" i="50"/>
  <c r="AK39" i="50" s="1"/>
  <c r="AV39" i="50" s="1"/>
  <c r="B40" i="50"/>
  <c r="AD41" i="50"/>
  <c r="BE34" i="49"/>
  <c r="BB35" i="49" s="1"/>
  <c r="BD35" i="49" s="1"/>
  <c r="BE35" i="49" s="1"/>
  <c r="BB36" i="49" s="1"/>
  <c r="AT34" i="49"/>
  <c r="AQ35" i="49" s="1"/>
  <c r="AS35" i="49" s="1"/>
  <c r="X34" i="49"/>
  <c r="Y34" i="49" s="1"/>
  <c r="V35" i="49" s="1"/>
  <c r="G36" i="49"/>
  <c r="Q38" i="49"/>
  <c r="I39" i="49"/>
  <c r="AO36" i="49"/>
  <c r="AN36" i="49"/>
  <c r="AB37" i="49"/>
  <c r="AL37" i="49" s="1"/>
  <c r="AM37" i="49"/>
  <c r="F37" i="49"/>
  <c r="E37" i="49"/>
  <c r="J37" i="49"/>
  <c r="R37" i="49" s="1"/>
  <c r="S37" i="49" s="1"/>
  <c r="C38" i="49"/>
  <c r="AC37" i="49"/>
  <c r="L36" i="49"/>
  <c r="K36" i="49"/>
  <c r="AW36" i="49"/>
  <c r="AA39" i="49"/>
  <c r="AK39" i="49" s="1"/>
  <c r="AV39" i="49" s="1"/>
  <c r="B40" i="49"/>
  <c r="AD40" i="49"/>
  <c r="T44" i="49"/>
  <c r="AR35" i="49"/>
  <c r="BE36" i="53" l="1"/>
  <c r="BB37" i="53" s="1"/>
  <c r="AT36" i="53"/>
  <c r="AQ37" i="53" s="1"/>
  <c r="O37" i="50"/>
  <c r="G37" i="49"/>
  <c r="BE36" i="50"/>
  <c r="BB37" i="50" s="1"/>
  <c r="BD37" i="50" s="1"/>
  <c r="BE37" i="50" s="1"/>
  <c r="BB38" i="50" s="1"/>
  <c r="G38" i="53"/>
  <c r="AT36" i="50"/>
  <c r="AQ37" i="50" s="1"/>
  <c r="BD37" i="53"/>
  <c r="BE37" i="53"/>
  <c r="BB38" i="53" s="1"/>
  <c r="X36" i="53"/>
  <c r="Y36" i="53" s="1"/>
  <c r="V37" i="53" s="1"/>
  <c r="AD44" i="53"/>
  <c r="I40" i="53"/>
  <c r="Q39" i="53"/>
  <c r="AA41" i="53"/>
  <c r="AK41" i="53" s="1"/>
  <c r="AV41" i="53" s="1"/>
  <c r="B42" i="53"/>
  <c r="AR37" i="53"/>
  <c r="T41" i="53"/>
  <c r="AS37" i="53"/>
  <c r="AT37" i="53" s="1"/>
  <c r="AQ38" i="53" s="1"/>
  <c r="AO38" i="53"/>
  <c r="AN38" i="53"/>
  <c r="C40" i="53"/>
  <c r="F39" i="53"/>
  <c r="AM39" i="53"/>
  <c r="E39" i="53"/>
  <c r="J39" i="53"/>
  <c r="R39" i="53" s="1"/>
  <c r="S39" i="53" s="1"/>
  <c r="AC39" i="53"/>
  <c r="AB39" i="53"/>
  <c r="AL39" i="53" s="1"/>
  <c r="AE38" i="53"/>
  <c r="AG38" i="53" s="1"/>
  <c r="BA38" i="53"/>
  <c r="BC38" i="53" s="1"/>
  <c r="AP38" i="53"/>
  <c r="L38" i="53"/>
  <c r="M38" i="53" s="1"/>
  <c r="U38" i="53" s="1"/>
  <c r="W38" i="53" s="1"/>
  <c r="AW38" i="53"/>
  <c r="K38" i="53"/>
  <c r="N38" i="53"/>
  <c r="O38" i="53" s="1"/>
  <c r="AH37" i="53"/>
  <c r="AI37" i="53" s="1"/>
  <c r="AF38" i="53" s="1"/>
  <c r="M37" i="53"/>
  <c r="U37" i="53" s="1"/>
  <c r="W37" i="53" s="1"/>
  <c r="G39" i="52"/>
  <c r="BA39" i="52" s="1"/>
  <c r="BC39" i="52" s="1"/>
  <c r="AS37" i="52"/>
  <c r="AT37" i="52"/>
  <c r="AQ38" i="52" s="1"/>
  <c r="BD38" i="52"/>
  <c r="AH38" i="52"/>
  <c r="AM40" i="52"/>
  <c r="F40" i="52"/>
  <c r="E40" i="52"/>
  <c r="G40" i="52" s="1"/>
  <c r="AB40" i="52"/>
  <c r="AL40" i="52" s="1"/>
  <c r="J40" i="52"/>
  <c r="R40" i="52" s="1"/>
  <c r="S40" i="52" s="1"/>
  <c r="AC40" i="52"/>
  <c r="C41" i="52"/>
  <c r="T42" i="52"/>
  <c r="I41" i="52"/>
  <c r="Q40" i="52"/>
  <c r="K39" i="52"/>
  <c r="L39" i="52"/>
  <c r="AW39" i="52"/>
  <c r="X38" i="52"/>
  <c r="AN39" i="52"/>
  <c r="AO39" i="52"/>
  <c r="AD40" i="52"/>
  <c r="BA38" i="52"/>
  <c r="BC38" i="52" s="1"/>
  <c r="AP38" i="52"/>
  <c r="AR38" i="52" s="1"/>
  <c r="AE38" i="52"/>
  <c r="AG38" i="52" s="1"/>
  <c r="B42" i="52"/>
  <c r="AA41" i="52"/>
  <c r="AK41" i="52" s="1"/>
  <c r="AV41" i="52" s="1"/>
  <c r="N38" i="52"/>
  <c r="O38" i="52" s="1"/>
  <c r="M38" i="52"/>
  <c r="U38" i="52" s="1"/>
  <c r="W38" i="52" s="1"/>
  <c r="G38" i="50"/>
  <c r="AE38" i="50" s="1"/>
  <c r="AG38" i="50" s="1"/>
  <c r="AS37" i="50"/>
  <c r="AH37" i="50"/>
  <c r="AI37" i="50" s="1"/>
  <c r="AF38" i="50" s="1"/>
  <c r="AD42" i="50"/>
  <c r="AB39" i="50"/>
  <c r="AL39" i="50" s="1"/>
  <c r="C40" i="50"/>
  <c r="F39" i="50"/>
  <c r="E39" i="50"/>
  <c r="AM39" i="50"/>
  <c r="J39" i="50"/>
  <c r="R39" i="50" s="1"/>
  <c r="S39" i="50" s="1"/>
  <c r="AC39" i="50"/>
  <c r="AA40" i="50"/>
  <c r="AK40" i="50" s="1"/>
  <c r="AV40" i="50" s="1"/>
  <c r="B41" i="50"/>
  <c r="T40" i="50"/>
  <c r="Q44" i="50"/>
  <c r="I45" i="50"/>
  <c r="AR37" i="50"/>
  <c r="AO38" i="50"/>
  <c r="AN38" i="50"/>
  <c r="X36" i="50"/>
  <c r="Y36" i="50" s="1"/>
  <c r="V37" i="50" s="1"/>
  <c r="K38" i="50"/>
  <c r="AW38" i="50"/>
  <c r="L38" i="50"/>
  <c r="AT35" i="49"/>
  <c r="AQ36" i="49" s="1"/>
  <c r="AS36" i="49" s="1"/>
  <c r="X35" i="49"/>
  <c r="Y35" i="49" s="1"/>
  <c r="V36" i="49" s="1"/>
  <c r="BD36" i="49"/>
  <c r="AH36" i="49"/>
  <c r="AM38" i="49"/>
  <c r="E38" i="49"/>
  <c r="F38" i="49"/>
  <c r="C39" i="49"/>
  <c r="AB38" i="49"/>
  <c r="AL38" i="49" s="1"/>
  <c r="J38" i="49"/>
  <c r="R38" i="49" s="1"/>
  <c r="S38" i="49" s="1"/>
  <c r="AC38" i="49"/>
  <c r="AP37" i="49"/>
  <c r="BA37" i="49"/>
  <c r="BC37" i="49" s="1"/>
  <c r="AE37" i="49"/>
  <c r="AG37" i="49" s="1"/>
  <c r="AN37" i="49"/>
  <c r="AO37" i="49"/>
  <c r="AW37" i="49"/>
  <c r="L37" i="49"/>
  <c r="M37" i="49" s="1"/>
  <c r="U37" i="49" s="1"/>
  <c r="W37" i="49" s="1"/>
  <c r="K37" i="49"/>
  <c r="N37" i="49"/>
  <c r="T45" i="49"/>
  <c r="Q39" i="49"/>
  <c r="I40" i="49"/>
  <c r="AD41" i="49"/>
  <c r="AP36" i="49"/>
  <c r="AR36" i="49" s="1"/>
  <c r="BA36" i="49"/>
  <c r="BC36" i="49" s="1"/>
  <c r="AE36" i="49"/>
  <c r="AG36" i="49" s="1"/>
  <c r="AI36" i="49" s="1"/>
  <c r="AF37" i="49" s="1"/>
  <c r="B41" i="49"/>
  <c r="AA40" i="49"/>
  <c r="AK40" i="49" s="1"/>
  <c r="AV40" i="49" s="1"/>
  <c r="N36" i="49"/>
  <c r="O36" i="49" s="1"/>
  <c r="M36" i="49"/>
  <c r="U36" i="49" s="1"/>
  <c r="W36" i="49" s="1"/>
  <c r="N39" i="52" l="1"/>
  <c r="AR38" i="53"/>
  <c r="G39" i="50"/>
  <c r="O37" i="49"/>
  <c r="BE36" i="49"/>
  <c r="BB37" i="49" s="1"/>
  <c r="AP39" i="52"/>
  <c r="AR39" i="52" s="1"/>
  <c r="AE39" i="52"/>
  <c r="AG39" i="52" s="1"/>
  <c r="AI38" i="52"/>
  <c r="AF39" i="52" s="1"/>
  <c r="BE38" i="52"/>
  <c r="BB39" i="52" s="1"/>
  <c r="AP38" i="50"/>
  <c r="AR38" i="50" s="1"/>
  <c r="X37" i="53"/>
  <c r="Y37" i="53" s="1"/>
  <c r="V38" i="53" s="1"/>
  <c r="AH38" i="53"/>
  <c r="AI38" i="53" s="1"/>
  <c r="AF39" i="53" s="1"/>
  <c r="B43" i="53"/>
  <c r="AA42" i="53"/>
  <c r="AK42" i="53" s="1"/>
  <c r="AV42" i="53" s="1"/>
  <c r="F40" i="53"/>
  <c r="E40" i="53"/>
  <c r="G40" i="53" s="1"/>
  <c r="J40" i="53"/>
  <c r="R40" i="53" s="1"/>
  <c r="S40" i="53" s="1"/>
  <c r="AM40" i="53"/>
  <c r="C41" i="53"/>
  <c r="AC40" i="53"/>
  <c r="AB40" i="53"/>
  <c r="AL40" i="53" s="1"/>
  <c r="AS38" i="53"/>
  <c r="AT38" i="53" s="1"/>
  <c r="AQ39" i="53" s="1"/>
  <c r="T42" i="53"/>
  <c r="Q40" i="53"/>
  <c r="I41" i="53"/>
  <c r="AD45" i="53"/>
  <c r="AW39" i="53"/>
  <c r="L39" i="53"/>
  <c r="K39" i="53"/>
  <c r="G39" i="53"/>
  <c r="BD38" i="53"/>
  <c r="BE38" i="53" s="1"/>
  <c r="BB39" i="53" s="1"/>
  <c r="AN39" i="53"/>
  <c r="AO39" i="53"/>
  <c r="M39" i="52"/>
  <c r="U39" i="52" s="1"/>
  <c r="W39" i="52" s="1"/>
  <c r="Y38" i="52"/>
  <c r="V39" i="52" s="1"/>
  <c r="O39" i="52"/>
  <c r="AH39" i="52"/>
  <c r="AI39" i="52" s="1"/>
  <c r="AF40" i="52" s="1"/>
  <c r="X39" i="52"/>
  <c r="Y39" i="52" s="1"/>
  <c r="V40" i="52" s="1"/>
  <c r="BD39" i="52"/>
  <c r="BE39" i="52" s="1"/>
  <c r="BB40" i="52" s="1"/>
  <c r="Q41" i="52"/>
  <c r="I42" i="52"/>
  <c r="J41" i="52"/>
  <c r="R41" i="52" s="1"/>
  <c r="S41" i="52" s="1"/>
  <c r="C42" i="52"/>
  <c r="F41" i="52"/>
  <c r="AB41" i="52"/>
  <c r="AL41" i="52" s="1"/>
  <c r="AC41" i="52"/>
  <c r="E41" i="52"/>
  <c r="AM41" i="52"/>
  <c r="L40" i="52"/>
  <c r="M40" i="52"/>
  <c r="U40" i="52" s="1"/>
  <c r="W40" i="52" s="1"/>
  <c r="AW40" i="52"/>
  <c r="K40" i="52"/>
  <c r="N40" i="52"/>
  <c r="AD41" i="52"/>
  <c r="B43" i="52"/>
  <c r="AA42" i="52"/>
  <c r="AK42" i="52" s="1"/>
  <c r="AV42" i="52" s="1"/>
  <c r="T43" i="52"/>
  <c r="AP40" i="52"/>
  <c r="BA40" i="52"/>
  <c r="BC40" i="52" s="1"/>
  <c r="AE40" i="52"/>
  <c r="AG40" i="52" s="1"/>
  <c r="AN40" i="52"/>
  <c r="AO40" i="52"/>
  <c r="AS38" i="52"/>
  <c r="AT38" i="52" s="1"/>
  <c r="AQ39" i="52" s="1"/>
  <c r="BA38" i="50"/>
  <c r="BC38" i="50" s="1"/>
  <c r="AT37" i="50"/>
  <c r="AQ38" i="50" s="1"/>
  <c r="AS38" i="50" s="1"/>
  <c r="N38" i="50"/>
  <c r="O38" i="50" s="1"/>
  <c r="BD38" i="50"/>
  <c r="AH38" i="50"/>
  <c r="AI38" i="50" s="1"/>
  <c r="AF39" i="50" s="1"/>
  <c r="B42" i="50"/>
  <c r="AA41" i="50"/>
  <c r="AK41" i="50" s="1"/>
  <c r="AV41" i="50" s="1"/>
  <c r="J40" i="50"/>
  <c r="R40" i="50" s="1"/>
  <c r="S40" i="50" s="1"/>
  <c r="AM40" i="50"/>
  <c r="C41" i="50"/>
  <c r="E40" i="50"/>
  <c r="AC40" i="50"/>
  <c r="AB40" i="50"/>
  <c r="AL40" i="50" s="1"/>
  <c r="F40" i="50"/>
  <c r="AD43" i="50"/>
  <c r="T41" i="50"/>
  <c r="M38" i="50"/>
  <c r="U38" i="50" s="1"/>
  <c r="W38" i="50" s="1"/>
  <c r="AO39" i="50"/>
  <c r="AN39" i="50"/>
  <c r="AP39" i="50"/>
  <c r="AE39" i="50"/>
  <c r="AG39" i="50" s="1"/>
  <c r="BA39" i="50"/>
  <c r="BC39" i="50" s="1"/>
  <c r="X37" i="50"/>
  <c r="Y37" i="50"/>
  <c r="V38" i="50" s="1"/>
  <c r="L39" i="50"/>
  <c r="M39" i="50" s="1"/>
  <c r="U39" i="50" s="1"/>
  <c r="W39" i="50" s="1"/>
  <c r="K39" i="50"/>
  <c r="AW39" i="50"/>
  <c r="N39" i="50"/>
  <c r="O39" i="50" s="1"/>
  <c r="I46" i="50"/>
  <c r="Q45" i="50"/>
  <c r="AT36" i="49"/>
  <c r="AQ37" i="49" s="1"/>
  <c r="AS37" i="49" s="1"/>
  <c r="AH37" i="49"/>
  <c r="AI37" i="49" s="1"/>
  <c r="AF38" i="49" s="1"/>
  <c r="BD37" i="49"/>
  <c r="BE37" i="49" s="1"/>
  <c r="BB38" i="49" s="1"/>
  <c r="X36" i="49"/>
  <c r="Y36" i="49" s="1"/>
  <c r="V37" i="49" s="1"/>
  <c r="AR37" i="49"/>
  <c r="L38" i="49"/>
  <c r="AW38" i="49"/>
  <c r="K38" i="49"/>
  <c r="AC39" i="49"/>
  <c r="F39" i="49"/>
  <c r="AB39" i="49"/>
  <c r="AL39" i="49" s="1"/>
  <c r="E39" i="49"/>
  <c r="G39" i="49" s="1"/>
  <c r="AM39" i="49"/>
  <c r="C40" i="49"/>
  <c r="J39" i="49"/>
  <c r="R39" i="49" s="1"/>
  <c r="S39" i="49" s="1"/>
  <c r="Q40" i="49"/>
  <c r="I41" i="49"/>
  <c r="AN38" i="49"/>
  <c r="AO38" i="49"/>
  <c r="T46" i="49"/>
  <c r="AA41" i="49"/>
  <c r="AK41" i="49" s="1"/>
  <c r="AV41" i="49" s="1"/>
  <c r="B42" i="49"/>
  <c r="AD42" i="49"/>
  <c r="G38" i="49"/>
  <c r="N38" i="49" s="1"/>
  <c r="BE38" i="50" l="1"/>
  <c r="BB39" i="50" s="1"/>
  <c r="AT38" i="50"/>
  <c r="AQ39" i="50" s="1"/>
  <c r="M39" i="53"/>
  <c r="U39" i="53" s="1"/>
  <c r="W39" i="53" s="1"/>
  <c r="AS39" i="53"/>
  <c r="BD39" i="53"/>
  <c r="X38" i="53"/>
  <c r="Y38" i="53" s="1"/>
  <c r="V39" i="53" s="1"/>
  <c r="I42" i="53"/>
  <c r="Q41" i="53"/>
  <c r="AO40" i="53"/>
  <c r="AN40" i="53"/>
  <c r="T43" i="53"/>
  <c r="E41" i="53"/>
  <c r="C42" i="53"/>
  <c r="AC41" i="53"/>
  <c r="AB41" i="53"/>
  <c r="AL41" i="53" s="1"/>
  <c r="AM41" i="53"/>
  <c r="F41" i="53"/>
  <c r="J41" i="53"/>
  <c r="R41" i="53" s="1"/>
  <c r="S41" i="53" s="1"/>
  <c r="AD46" i="53"/>
  <c r="L40" i="53"/>
  <c r="M40" i="53" s="1"/>
  <c r="U40" i="53" s="1"/>
  <c r="W40" i="53" s="1"/>
  <c r="K40" i="53"/>
  <c r="AW40" i="53"/>
  <c r="N40" i="53"/>
  <c r="AE40" i="53"/>
  <c r="AG40" i="53" s="1"/>
  <c r="AP40" i="53"/>
  <c r="BA40" i="53"/>
  <c r="BC40" i="53" s="1"/>
  <c r="BA39" i="53"/>
  <c r="BC39" i="53" s="1"/>
  <c r="AE39" i="53"/>
  <c r="AG39" i="53" s="1"/>
  <c r="AP39" i="53"/>
  <c r="AR39" i="53" s="1"/>
  <c r="N39" i="53"/>
  <c r="O39" i="53" s="1"/>
  <c r="AA43" i="53"/>
  <c r="AK43" i="53" s="1"/>
  <c r="AV43" i="53" s="1"/>
  <c r="B44" i="53"/>
  <c r="AH39" i="53"/>
  <c r="AI39" i="53" s="1"/>
  <c r="AF40" i="53" s="1"/>
  <c r="G41" i="52"/>
  <c r="N41" i="52" s="1"/>
  <c r="O41" i="52" s="1"/>
  <c r="O40" i="52"/>
  <c r="BD40" i="52"/>
  <c r="BE40" i="52" s="1"/>
  <c r="BB41" i="52" s="1"/>
  <c r="AH40" i="52"/>
  <c r="AI40" i="52" s="1"/>
  <c r="AF41" i="52" s="1"/>
  <c r="AN41" i="52"/>
  <c r="AO41" i="52"/>
  <c r="AS39" i="52"/>
  <c r="AT39" i="52" s="1"/>
  <c r="AQ40" i="52" s="1"/>
  <c r="AW41" i="52"/>
  <c r="K41" i="52"/>
  <c r="L41" i="52"/>
  <c r="AR40" i="52"/>
  <c r="I43" i="52"/>
  <c r="Q42" i="52"/>
  <c r="X40" i="52"/>
  <c r="Y40" i="52" s="1"/>
  <c r="V41" i="52" s="1"/>
  <c r="AC42" i="52"/>
  <c r="C43" i="52"/>
  <c r="J42" i="52"/>
  <c r="R42" i="52" s="1"/>
  <c r="S42" i="52" s="1"/>
  <c r="AB42" i="52"/>
  <c r="AL42" i="52" s="1"/>
  <c r="F42" i="52"/>
  <c r="E42" i="52"/>
  <c r="AM42" i="52"/>
  <c r="T44" i="52"/>
  <c r="B44" i="52"/>
  <c r="AA43" i="52"/>
  <c r="AK43" i="52" s="1"/>
  <c r="AV43" i="52" s="1"/>
  <c r="AD42" i="52"/>
  <c r="AH39" i="50"/>
  <c r="AI39" i="50" s="1"/>
  <c r="AF40" i="50" s="1"/>
  <c r="AS39" i="50"/>
  <c r="AD44" i="50"/>
  <c r="I47" i="50"/>
  <c r="Q46" i="50"/>
  <c r="K40" i="50"/>
  <c r="L40" i="50"/>
  <c r="AW40" i="50"/>
  <c r="T42" i="50"/>
  <c r="G40" i="50"/>
  <c r="N40" i="50" s="1"/>
  <c r="O40" i="50" s="1"/>
  <c r="J41" i="50"/>
  <c r="R41" i="50" s="1"/>
  <c r="S41" i="50" s="1"/>
  <c r="AM41" i="50"/>
  <c r="F41" i="50"/>
  <c r="E41" i="50"/>
  <c r="C42" i="50"/>
  <c r="AC41" i="50"/>
  <c r="AB41" i="50"/>
  <c r="AL41" i="50" s="1"/>
  <c r="AO40" i="50"/>
  <c r="AN40" i="50"/>
  <c r="X38" i="50"/>
  <c r="Y38" i="50"/>
  <c r="V39" i="50" s="1"/>
  <c r="B43" i="50"/>
  <c r="AA42" i="50"/>
  <c r="AK42" i="50" s="1"/>
  <c r="AV42" i="50" s="1"/>
  <c r="AR39" i="50"/>
  <c r="BD39" i="50"/>
  <c r="BE39" i="50" s="1"/>
  <c r="BB40" i="50" s="1"/>
  <c r="O38" i="49"/>
  <c r="AT37" i="49"/>
  <c r="AQ38" i="49" s="1"/>
  <c r="AS38" i="49" s="1"/>
  <c r="BD38" i="49"/>
  <c r="AH38" i="49"/>
  <c r="AO39" i="49"/>
  <c r="AN39" i="49"/>
  <c r="AW39" i="49"/>
  <c r="L39" i="49"/>
  <c r="M39" i="49" s="1"/>
  <c r="U39" i="49" s="1"/>
  <c r="W39" i="49" s="1"/>
  <c r="K39" i="49"/>
  <c r="N39" i="49"/>
  <c r="AE38" i="49"/>
  <c r="AG38" i="49" s="1"/>
  <c r="AI38" i="49" s="1"/>
  <c r="AF39" i="49" s="1"/>
  <c r="BA38" i="49"/>
  <c r="BC38" i="49" s="1"/>
  <c r="AP38" i="49"/>
  <c r="AR38" i="49" s="1"/>
  <c r="M38" i="49"/>
  <c r="U38" i="49" s="1"/>
  <c r="W38" i="49" s="1"/>
  <c r="AD43" i="49"/>
  <c r="X37" i="49"/>
  <c r="Y37" i="49" s="1"/>
  <c r="V38" i="49" s="1"/>
  <c r="T47" i="49"/>
  <c r="Q41" i="49"/>
  <c r="I42" i="49"/>
  <c r="AM40" i="49"/>
  <c r="F40" i="49"/>
  <c r="E40" i="49"/>
  <c r="AC40" i="49"/>
  <c r="C41" i="49"/>
  <c r="J40" i="49"/>
  <c r="R40" i="49" s="1"/>
  <c r="S40" i="49" s="1"/>
  <c r="AB40" i="49"/>
  <c r="AL40" i="49" s="1"/>
  <c r="BA39" i="49"/>
  <c r="BC39" i="49" s="1"/>
  <c r="AE39" i="49"/>
  <c r="AG39" i="49" s="1"/>
  <c r="AP39" i="49"/>
  <c r="B43" i="49"/>
  <c r="AA42" i="49"/>
  <c r="AK42" i="49" s="1"/>
  <c r="AV42" i="49" s="1"/>
  <c r="AP41" i="52" l="1"/>
  <c r="BA41" i="52"/>
  <c r="BC41" i="52" s="1"/>
  <c r="AE41" i="52"/>
  <c r="AG41" i="52" s="1"/>
  <c r="M41" i="52"/>
  <c r="U41" i="52" s="1"/>
  <c r="W41" i="52" s="1"/>
  <c r="AT38" i="49"/>
  <c r="AQ39" i="49" s="1"/>
  <c r="AS39" i="49" s="1"/>
  <c r="BE38" i="49"/>
  <c r="BB39" i="49" s="1"/>
  <c r="BD39" i="49" s="1"/>
  <c r="O40" i="53"/>
  <c r="AT39" i="53"/>
  <c r="AQ40" i="53" s="1"/>
  <c r="AS40" i="53" s="1"/>
  <c r="AR40" i="53"/>
  <c r="BE39" i="53"/>
  <c r="BB40" i="53" s="1"/>
  <c r="AH40" i="53"/>
  <c r="AI40" i="53" s="1"/>
  <c r="AF41" i="53" s="1"/>
  <c r="BD40" i="53"/>
  <c r="BE40" i="53" s="1"/>
  <c r="BB41" i="53" s="1"/>
  <c r="X39" i="53"/>
  <c r="Y39" i="53" s="1"/>
  <c r="V40" i="53" s="1"/>
  <c r="AN41" i="53"/>
  <c r="AO41" i="53"/>
  <c r="C43" i="53"/>
  <c r="AC42" i="53"/>
  <c r="F42" i="53"/>
  <c r="E42" i="53"/>
  <c r="AB42" i="53"/>
  <c r="AL42" i="53" s="1"/>
  <c r="J42" i="53"/>
  <c r="R42" i="53" s="1"/>
  <c r="S42" i="53" s="1"/>
  <c r="AM42" i="53"/>
  <c r="AD47" i="53"/>
  <c r="AW41" i="53"/>
  <c r="L41" i="53"/>
  <c r="K41" i="53"/>
  <c r="G41" i="53"/>
  <c r="T44" i="53"/>
  <c r="Q42" i="53"/>
  <c r="I43" i="53"/>
  <c r="AA44" i="53"/>
  <c r="AK44" i="53" s="1"/>
  <c r="AV44" i="53" s="1"/>
  <c r="B45" i="53"/>
  <c r="G42" i="52"/>
  <c r="AE42" i="52" s="1"/>
  <c r="AG42" i="52" s="1"/>
  <c r="X41" i="52"/>
  <c r="Y41" i="52" s="1"/>
  <c r="V42" i="52" s="1"/>
  <c r="BD41" i="52"/>
  <c r="BE41" i="52" s="1"/>
  <c r="BB42" i="52" s="1"/>
  <c r="AD43" i="52"/>
  <c r="AA44" i="52"/>
  <c r="AK44" i="52" s="1"/>
  <c r="AV44" i="52" s="1"/>
  <c r="B45" i="52"/>
  <c r="Q43" i="52"/>
  <c r="I44" i="52"/>
  <c r="T45" i="52"/>
  <c r="AO42" i="52"/>
  <c r="AN42" i="52"/>
  <c r="AS40" i="52"/>
  <c r="AT40" i="52"/>
  <c r="AQ41" i="52" s="1"/>
  <c r="K42" i="52"/>
  <c r="AW42" i="52"/>
  <c r="L42" i="52"/>
  <c r="AR41" i="52"/>
  <c r="AH41" i="52"/>
  <c r="AI41" i="52"/>
  <c r="AF42" i="52" s="1"/>
  <c r="F43" i="52"/>
  <c r="C44" i="52"/>
  <c r="AC43" i="52"/>
  <c r="AB43" i="52"/>
  <c r="AL43" i="52" s="1"/>
  <c r="E43" i="52"/>
  <c r="G43" i="52" s="1"/>
  <c r="J43" i="52"/>
  <c r="R43" i="52" s="1"/>
  <c r="S43" i="52" s="1"/>
  <c r="AM43" i="52"/>
  <c r="G41" i="50"/>
  <c r="AP41" i="50" s="1"/>
  <c r="AT39" i="50"/>
  <c r="AQ40" i="50" s="1"/>
  <c r="AS40" i="50" s="1"/>
  <c r="AH40" i="50"/>
  <c r="AP40" i="50"/>
  <c r="AR40" i="50" s="1"/>
  <c r="AE40" i="50"/>
  <c r="AG40" i="50" s="1"/>
  <c r="BA40" i="50"/>
  <c r="BC40" i="50" s="1"/>
  <c r="T43" i="50"/>
  <c r="M40" i="50"/>
  <c r="U40" i="50" s="1"/>
  <c r="W40" i="50" s="1"/>
  <c r="AA43" i="50"/>
  <c r="AK43" i="50" s="1"/>
  <c r="AV43" i="50" s="1"/>
  <c r="B44" i="50"/>
  <c r="X39" i="50"/>
  <c r="Y39" i="50"/>
  <c r="V40" i="50" s="1"/>
  <c r="AD45" i="50"/>
  <c r="AO41" i="50"/>
  <c r="AN41" i="50"/>
  <c r="BD40" i="50"/>
  <c r="Q47" i="50"/>
  <c r="I48" i="50"/>
  <c r="K41" i="50"/>
  <c r="L41" i="50"/>
  <c r="AW41" i="50"/>
  <c r="C43" i="50"/>
  <c r="F42" i="50"/>
  <c r="E42" i="50"/>
  <c r="G42" i="50" s="1"/>
  <c r="AC42" i="50"/>
  <c r="AB42" i="50"/>
  <c r="AL42" i="50" s="1"/>
  <c r="AM42" i="50"/>
  <c r="J42" i="50"/>
  <c r="R42" i="50" s="1"/>
  <c r="S42" i="50" s="1"/>
  <c r="O39" i="49"/>
  <c r="G40" i="49"/>
  <c r="AE40" i="49" s="1"/>
  <c r="AG40" i="49" s="1"/>
  <c r="AH39" i="49"/>
  <c r="AI39" i="49"/>
  <c r="AF40" i="49" s="1"/>
  <c r="X38" i="49"/>
  <c r="Y38" i="49" s="1"/>
  <c r="V39" i="49" s="1"/>
  <c r="AD44" i="49"/>
  <c r="AC41" i="49"/>
  <c r="F41" i="49"/>
  <c r="AB41" i="49"/>
  <c r="AL41" i="49" s="1"/>
  <c r="E41" i="49"/>
  <c r="AM41" i="49"/>
  <c r="C42" i="49"/>
  <c r="J41" i="49"/>
  <c r="R41" i="49" s="1"/>
  <c r="S41" i="49" s="1"/>
  <c r="AR39" i="49"/>
  <c r="B44" i="49"/>
  <c r="AA43" i="49"/>
  <c r="AK43" i="49" s="1"/>
  <c r="AV43" i="49" s="1"/>
  <c r="AW40" i="49"/>
  <c r="L40" i="49"/>
  <c r="K40" i="49"/>
  <c r="AN40" i="49"/>
  <c r="AO40" i="49"/>
  <c r="I43" i="49"/>
  <c r="Q42" i="49"/>
  <c r="T48" i="49"/>
  <c r="M41" i="50" l="1"/>
  <c r="U41" i="50" s="1"/>
  <c r="W41" i="50" s="1"/>
  <c r="AP40" i="49"/>
  <c r="N40" i="49"/>
  <c r="O40" i="49" s="1"/>
  <c r="BA40" i="49"/>
  <c r="BC40" i="49" s="1"/>
  <c r="BA41" i="50"/>
  <c r="BC41" i="50" s="1"/>
  <c r="N42" i="52"/>
  <c r="O42" i="52" s="1"/>
  <c r="M42" i="52"/>
  <c r="U42" i="52" s="1"/>
  <c r="W42" i="52" s="1"/>
  <c r="BE39" i="49"/>
  <c r="BB40" i="49" s="1"/>
  <c r="BD40" i="49" s="1"/>
  <c r="BE40" i="49" s="1"/>
  <c r="BB41" i="49" s="1"/>
  <c r="M40" i="49"/>
  <c r="U40" i="49" s="1"/>
  <c r="W40" i="49" s="1"/>
  <c r="AT40" i="53"/>
  <c r="AQ41" i="53" s="1"/>
  <c r="AP42" i="52"/>
  <c r="AR42" i="52" s="1"/>
  <c r="BA42" i="52"/>
  <c r="BC42" i="52" s="1"/>
  <c r="AH41" i="53"/>
  <c r="BD41" i="53"/>
  <c r="AS41" i="53"/>
  <c r="G42" i="53"/>
  <c r="M42" i="53" s="1"/>
  <c r="U42" i="53" s="1"/>
  <c r="W42" i="53" s="1"/>
  <c r="AN42" i="53"/>
  <c r="AO42" i="53"/>
  <c r="AM43" i="53"/>
  <c r="C44" i="53"/>
  <c r="J43" i="53"/>
  <c r="R43" i="53" s="1"/>
  <c r="S43" i="53" s="1"/>
  <c r="E43" i="53"/>
  <c r="AC43" i="53"/>
  <c r="AB43" i="53"/>
  <c r="AL43" i="53" s="1"/>
  <c r="F43" i="53"/>
  <c r="AP41" i="53"/>
  <c r="AR41" i="53" s="1"/>
  <c r="BA41" i="53"/>
  <c r="BC41" i="53" s="1"/>
  <c r="AE41" i="53"/>
  <c r="AG41" i="53" s="1"/>
  <c r="AD48" i="53"/>
  <c r="L42" i="53"/>
  <c r="K42" i="53"/>
  <c r="AW42" i="53"/>
  <c r="B46" i="53"/>
  <c r="AA45" i="53"/>
  <c r="AK45" i="53" s="1"/>
  <c r="AV45" i="53" s="1"/>
  <c r="I44" i="53"/>
  <c r="Q43" i="53"/>
  <c r="X40" i="53"/>
  <c r="Y40" i="53" s="1"/>
  <c r="V41" i="53" s="1"/>
  <c r="T45" i="53"/>
  <c r="N41" i="53"/>
  <c r="O41" i="53" s="1"/>
  <c r="M41" i="53"/>
  <c r="U41" i="53" s="1"/>
  <c r="W41" i="53" s="1"/>
  <c r="X42" i="52"/>
  <c r="AE43" i="52"/>
  <c r="AG43" i="52" s="1"/>
  <c r="AP43" i="52"/>
  <c r="BA43" i="52"/>
  <c r="BC43" i="52" s="1"/>
  <c r="I45" i="52"/>
  <c r="Q44" i="52"/>
  <c r="AH42" i="52"/>
  <c r="AI42" i="52" s="1"/>
  <c r="AF43" i="52" s="1"/>
  <c r="AD44" i="52"/>
  <c r="AS41" i="52"/>
  <c r="AT41" i="52"/>
  <c r="AQ42" i="52" s="1"/>
  <c r="AO43" i="52"/>
  <c r="AN43" i="52"/>
  <c r="T46" i="52"/>
  <c r="L43" i="52"/>
  <c r="M43" i="52" s="1"/>
  <c r="U43" i="52" s="1"/>
  <c r="W43" i="52" s="1"/>
  <c r="K43" i="52"/>
  <c r="AW43" i="52"/>
  <c r="N43" i="52"/>
  <c r="C45" i="52"/>
  <c r="J44" i="52"/>
  <c r="R44" i="52" s="1"/>
  <c r="S44" i="52" s="1"/>
  <c r="AC44" i="52"/>
  <c r="AB44" i="52"/>
  <c r="AL44" i="52" s="1"/>
  <c r="AM44" i="52"/>
  <c r="F44" i="52"/>
  <c r="E44" i="52"/>
  <c r="AA45" i="52"/>
  <c r="AK45" i="52" s="1"/>
  <c r="AV45" i="52" s="1"/>
  <c r="B46" i="52"/>
  <c r="BD42" i="52"/>
  <c r="BE40" i="50"/>
  <c r="BB41" i="50" s="1"/>
  <c r="BD41" i="50" s="1"/>
  <c r="BE41" i="50" s="1"/>
  <c r="BB42" i="50" s="1"/>
  <c r="AI40" i="50"/>
  <c r="AF41" i="50" s="1"/>
  <c r="AH41" i="50" s="1"/>
  <c r="AT40" i="50"/>
  <c r="AQ41" i="50" s="1"/>
  <c r="AS41" i="50" s="1"/>
  <c r="AE41" i="50"/>
  <c r="AG41" i="50" s="1"/>
  <c r="N41" i="50"/>
  <c r="O41" i="50" s="1"/>
  <c r="AO42" i="50"/>
  <c r="AN42" i="50"/>
  <c r="AD46" i="50"/>
  <c r="X40" i="50"/>
  <c r="Y40" i="50"/>
  <c r="V41" i="50" s="1"/>
  <c r="K42" i="50"/>
  <c r="AW42" i="50"/>
  <c r="L42" i="50"/>
  <c r="M42" i="50" s="1"/>
  <c r="U42" i="50" s="1"/>
  <c r="W42" i="50" s="1"/>
  <c r="N42" i="50"/>
  <c r="B45" i="50"/>
  <c r="AA44" i="50"/>
  <c r="AK44" i="50" s="1"/>
  <c r="AV44" i="50" s="1"/>
  <c r="AP42" i="50"/>
  <c r="AE42" i="50"/>
  <c r="AG42" i="50" s="1"/>
  <c r="BA42" i="50"/>
  <c r="BC42" i="50" s="1"/>
  <c r="AB43" i="50"/>
  <c r="AL43" i="50" s="1"/>
  <c r="E43" i="50"/>
  <c r="C44" i="50"/>
  <c r="AM43" i="50"/>
  <c r="F43" i="50"/>
  <c r="J43" i="50"/>
  <c r="R43" i="50" s="1"/>
  <c r="S43" i="50" s="1"/>
  <c r="AC43" i="50"/>
  <c r="T44" i="50"/>
  <c r="Q48" i="50"/>
  <c r="I49" i="50"/>
  <c r="AR41" i="50"/>
  <c r="AT39" i="49"/>
  <c r="AQ40" i="49" s="1"/>
  <c r="AS40" i="49" s="1"/>
  <c r="G41" i="49"/>
  <c r="N41" i="49" s="1"/>
  <c r="O41" i="49" s="1"/>
  <c r="X39" i="49"/>
  <c r="Y39" i="49" s="1"/>
  <c r="V40" i="49" s="1"/>
  <c r="B45" i="49"/>
  <c r="AA44" i="49"/>
  <c r="AK44" i="49" s="1"/>
  <c r="AV44" i="49" s="1"/>
  <c r="T49" i="49"/>
  <c r="I44" i="49"/>
  <c r="Q43" i="49"/>
  <c r="AR40" i="49"/>
  <c r="J42" i="49"/>
  <c r="R42" i="49" s="1"/>
  <c r="S42" i="49" s="1"/>
  <c r="AM42" i="49"/>
  <c r="AC42" i="49"/>
  <c r="C43" i="49"/>
  <c r="AB42" i="49"/>
  <c r="AL42" i="49" s="1"/>
  <c r="E42" i="49"/>
  <c r="F42" i="49"/>
  <c r="AO41" i="49"/>
  <c r="AN41" i="49"/>
  <c r="AW41" i="49"/>
  <c r="L41" i="49"/>
  <c r="K41" i="49"/>
  <c r="AD45" i="49"/>
  <c r="AH40" i="49"/>
  <c r="AI40" i="49" s="1"/>
  <c r="AF41" i="49" s="1"/>
  <c r="Y42" i="52" l="1"/>
  <c r="V43" i="52" s="1"/>
  <c r="G44" i="52"/>
  <c r="BE42" i="52"/>
  <c r="BB43" i="52" s="1"/>
  <c r="AT41" i="53"/>
  <c r="AQ42" i="53" s="1"/>
  <c r="N42" i="53"/>
  <c r="O42" i="53" s="1"/>
  <c r="AI41" i="50"/>
  <c r="AF42" i="50" s="1"/>
  <c r="BE41" i="53"/>
  <c r="BB42" i="53" s="1"/>
  <c r="BD42" i="53" s="1"/>
  <c r="AI41" i="53"/>
  <c r="AF42" i="53" s="1"/>
  <c r="AH42" i="53"/>
  <c r="AS42" i="53"/>
  <c r="X41" i="53"/>
  <c r="Y41" i="53" s="1"/>
  <c r="V42" i="53" s="1"/>
  <c r="T46" i="53"/>
  <c r="L43" i="53"/>
  <c r="AW43" i="53"/>
  <c r="K43" i="53"/>
  <c r="M43" i="53"/>
  <c r="U43" i="53" s="1"/>
  <c r="W43" i="53" s="1"/>
  <c r="N43" i="53"/>
  <c r="O43" i="53" s="1"/>
  <c r="J44" i="53"/>
  <c r="R44" i="53" s="1"/>
  <c r="S44" i="53" s="1"/>
  <c r="C45" i="53"/>
  <c r="F44" i="53"/>
  <c r="AM44" i="53"/>
  <c r="E44" i="53"/>
  <c r="AB44" i="53"/>
  <c r="AL44" i="53" s="1"/>
  <c r="AC44" i="53"/>
  <c r="I45" i="53"/>
  <c r="Q44" i="53"/>
  <c r="G43" i="53"/>
  <c r="AO43" i="53"/>
  <c r="AN43" i="53"/>
  <c r="B47" i="53"/>
  <c r="AA46" i="53"/>
  <c r="AK46" i="53" s="1"/>
  <c r="AV46" i="53" s="1"/>
  <c r="BA42" i="53"/>
  <c r="BC42" i="53" s="1"/>
  <c r="AE42" i="53"/>
  <c r="AG42" i="53" s="1"/>
  <c r="AI42" i="53" s="1"/>
  <c r="AF43" i="53" s="1"/>
  <c r="AP42" i="53"/>
  <c r="AR42" i="53" s="1"/>
  <c r="AT42" i="53" s="1"/>
  <c r="AQ43" i="53" s="1"/>
  <c r="AD49" i="53"/>
  <c r="AR43" i="52"/>
  <c r="BD43" i="52"/>
  <c r="BE43" i="52" s="1"/>
  <c r="BB44" i="52" s="1"/>
  <c r="AH43" i="52"/>
  <c r="AI43" i="52" s="1"/>
  <c r="AF44" i="52" s="1"/>
  <c r="X43" i="52"/>
  <c r="Y43" i="52" s="1"/>
  <c r="V44" i="52" s="1"/>
  <c r="T47" i="52"/>
  <c r="AA46" i="52"/>
  <c r="AK46" i="52" s="1"/>
  <c r="AV46" i="52" s="1"/>
  <c r="B47" i="52"/>
  <c r="AS42" i="52"/>
  <c r="AT42" i="52"/>
  <c r="AQ43" i="52" s="1"/>
  <c r="AD45" i="52"/>
  <c r="AP44" i="52"/>
  <c r="AE44" i="52"/>
  <c r="AG44" i="52" s="1"/>
  <c r="BA44" i="52"/>
  <c r="BC44" i="52" s="1"/>
  <c r="AN44" i="52"/>
  <c r="AO44" i="52"/>
  <c r="L44" i="52"/>
  <c r="M44" i="52" s="1"/>
  <c r="U44" i="52" s="1"/>
  <c r="W44" i="52" s="1"/>
  <c r="K44" i="52"/>
  <c r="AW44" i="52"/>
  <c r="N44" i="52"/>
  <c r="Q45" i="52"/>
  <c r="I46" i="52"/>
  <c r="AB45" i="52"/>
  <c r="AL45" i="52" s="1"/>
  <c r="C46" i="52"/>
  <c r="J45" i="52"/>
  <c r="R45" i="52" s="1"/>
  <c r="S45" i="52" s="1"/>
  <c r="AM45" i="52"/>
  <c r="F45" i="52"/>
  <c r="E45" i="52"/>
  <c r="AC45" i="52"/>
  <c r="O43" i="52"/>
  <c r="O42" i="50"/>
  <c r="AT41" i="50"/>
  <c r="AQ42" i="50" s="1"/>
  <c r="AS42" i="50"/>
  <c r="AH42" i="50"/>
  <c r="AI42" i="50" s="1"/>
  <c r="AF43" i="50" s="1"/>
  <c r="BD42" i="50"/>
  <c r="BE42" i="50" s="1"/>
  <c r="BB43" i="50" s="1"/>
  <c r="B46" i="50"/>
  <c r="AA45" i="50"/>
  <c r="AK45" i="50" s="1"/>
  <c r="AV45" i="50" s="1"/>
  <c r="T45" i="50"/>
  <c r="AR42" i="50"/>
  <c r="AO43" i="50"/>
  <c r="AN43" i="50"/>
  <c r="AC44" i="50"/>
  <c r="F44" i="50"/>
  <c r="E44" i="50"/>
  <c r="C45" i="50"/>
  <c r="AM44" i="50"/>
  <c r="AB44" i="50"/>
  <c r="AL44" i="50" s="1"/>
  <c r="J44" i="50"/>
  <c r="R44" i="50" s="1"/>
  <c r="S44" i="50" s="1"/>
  <c r="Q49" i="50"/>
  <c r="I50" i="50"/>
  <c r="X41" i="50"/>
  <c r="Y41" i="50"/>
  <c r="V42" i="50" s="1"/>
  <c r="AD47" i="50"/>
  <c r="G43" i="50"/>
  <c r="L43" i="50"/>
  <c r="AW43" i="50"/>
  <c r="M43" i="50"/>
  <c r="U43" i="50" s="1"/>
  <c r="W43" i="50" s="1"/>
  <c r="K43" i="50"/>
  <c r="N43" i="50"/>
  <c r="AT40" i="49"/>
  <c r="AQ41" i="49" s="1"/>
  <c r="AS41" i="49" s="1"/>
  <c r="G42" i="49"/>
  <c r="AP42" i="49" s="1"/>
  <c r="BA41" i="49"/>
  <c r="BC41" i="49" s="1"/>
  <c r="AP41" i="49"/>
  <c r="AR41" i="49" s="1"/>
  <c r="M41" i="49"/>
  <c r="U41" i="49" s="1"/>
  <c r="W41" i="49" s="1"/>
  <c r="AE41" i="49"/>
  <c r="AG41" i="49" s="1"/>
  <c r="BD41" i="49"/>
  <c r="AH41" i="49"/>
  <c r="L42" i="49"/>
  <c r="K42" i="49"/>
  <c r="AW42" i="49"/>
  <c r="AO42" i="49"/>
  <c r="AN42" i="49"/>
  <c r="T50" i="49"/>
  <c r="AD46" i="49"/>
  <c r="B46" i="49"/>
  <c r="AA45" i="49"/>
  <c r="AK45" i="49" s="1"/>
  <c r="AV45" i="49" s="1"/>
  <c r="J43" i="49"/>
  <c r="R43" i="49" s="1"/>
  <c r="S43" i="49" s="1"/>
  <c r="E43" i="49"/>
  <c r="F43" i="49"/>
  <c r="C44" i="49"/>
  <c r="AC43" i="49"/>
  <c r="AB43" i="49"/>
  <c r="AL43" i="49" s="1"/>
  <c r="AM43" i="49"/>
  <c r="I45" i="49"/>
  <c r="Q44" i="49"/>
  <c r="X40" i="49"/>
  <c r="Y40" i="49" s="1"/>
  <c r="V41" i="49" s="1"/>
  <c r="BE41" i="49" l="1"/>
  <c r="BB42" i="49" s="1"/>
  <c r="O43" i="50"/>
  <c r="AI41" i="49"/>
  <c r="AF42" i="49" s="1"/>
  <c r="G44" i="53"/>
  <c r="BE42" i="53"/>
  <c r="BB43" i="53" s="1"/>
  <c r="BD43" i="53" s="1"/>
  <c r="AS43" i="53"/>
  <c r="AH43" i="53"/>
  <c r="X42" i="53"/>
  <c r="Y42" i="53" s="1"/>
  <c r="V43" i="53" s="1"/>
  <c r="BA44" i="53"/>
  <c r="BC44" i="53" s="1"/>
  <c r="AP44" i="53"/>
  <c r="AE44" i="53"/>
  <c r="AG44" i="53" s="1"/>
  <c r="T47" i="53"/>
  <c r="AO44" i="53"/>
  <c r="AN44" i="53"/>
  <c r="AD50" i="53"/>
  <c r="AR43" i="53"/>
  <c r="E45" i="53"/>
  <c r="C46" i="53"/>
  <c r="AC45" i="53"/>
  <c r="AB45" i="53"/>
  <c r="AL45" i="53" s="1"/>
  <c r="F45" i="53"/>
  <c r="AM45" i="53"/>
  <c r="J45" i="53"/>
  <c r="R45" i="53" s="1"/>
  <c r="S45" i="53" s="1"/>
  <c r="B48" i="53"/>
  <c r="AA47" i="53"/>
  <c r="AK47" i="53" s="1"/>
  <c r="AV47" i="53" s="1"/>
  <c r="AE43" i="53"/>
  <c r="AG43" i="53" s="1"/>
  <c r="BA43" i="53"/>
  <c r="BC43" i="53" s="1"/>
  <c r="AP43" i="53"/>
  <c r="I46" i="53"/>
  <c r="Q45" i="53"/>
  <c r="AW44" i="53"/>
  <c r="L44" i="53"/>
  <c r="M44" i="53" s="1"/>
  <c r="U44" i="53" s="1"/>
  <c r="W44" i="53" s="1"/>
  <c r="K44" i="53"/>
  <c r="N44" i="53"/>
  <c r="G45" i="52"/>
  <c r="AE45" i="52" s="1"/>
  <c r="AG45" i="52" s="1"/>
  <c r="O44" i="52"/>
  <c r="X44" i="52"/>
  <c r="Y44" i="52" s="1"/>
  <c r="V45" i="52" s="1"/>
  <c r="AR44" i="52"/>
  <c r="AD46" i="52"/>
  <c r="BA45" i="52"/>
  <c r="BC45" i="52" s="1"/>
  <c r="AS43" i="52"/>
  <c r="AT43" i="52" s="1"/>
  <c r="AQ44" i="52" s="1"/>
  <c r="AN45" i="52"/>
  <c r="AO45" i="52"/>
  <c r="B48" i="52"/>
  <c r="AA47" i="52"/>
  <c r="AK47" i="52" s="1"/>
  <c r="AV47" i="52" s="1"/>
  <c r="AB46" i="52"/>
  <c r="AL46" i="52" s="1"/>
  <c r="C47" i="52"/>
  <c r="AC46" i="52"/>
  <c r="F46" i="52"/>
  <c r="E46" i="52"/>
  <c r="G46" i="52" s="1"/>
  <c r="AM46" i="52"/>
  <c r="J46" i="52"/>
  <c r="R46" i="52" s="1"/>
  <c r="S46" i="52" s="1"/>
  <c r="T48" i="52"/>
  <c r="L45" i="52"/>
  <c r="K45" i="52"/>
  <c r="AW45" i="52"/>
  <c r="N45" i="52"/>
  <c r="O45" i="52" s="1"/>
  <c r="Q46" i="52"/>
  <c r="I47" i="52"/>
  <c r="AH44" i="52"/>
  <c r="AI44" i="52" s="1"/>
  <c r="AF45" i="52" s="1"/>
  <c r="BD44" i="52"/>
  <c r="BE44" i="52" s="1"/>
  <c r="BB45" i="52" s="1"/>
  <c r="G44" i="50"/>
  <c r="AT42" i="50"/>
  <c r="AQ43" i="50" s="1"/>
  <c r="AS43" i="50"/>
  <c r="BD43" i="50"/>
  <c r="L44" i="50"/>
  <c r="AW44" i="50"/>
  <c r="K44" i="50"/>
  <c r="AN44" i="50"/>
  <c r="AO44" i="50"/>
  <c r="E45" i="50"/>
  <c r="C46" i="50"/>
  <c r="AC45" i="50"/>
  <c r="AB45" i="50"/>
  <c r="AL45" i="50" s="1"/>
  <c r="AM45" i="50"/>
  <c r="J45" i="50"/>
  <c r="R45" i="50" s="1"/>
  <c r="S45" i="50" s="1"/>
  <c r="F45" i="50"/>
  <c r="T46" i="50"/>
  <c r="BA43" i="50"/>
  <c r="BC43" i="50" s="1"/>
  <c r="AE43" i="50"/>
  <c r="AG43" i="50" s="1"/>
  <c r="AP43" i="50"/>
  <c r="AR43" i="50" s="1"/>
  <c r="B47" i="50"/>
  <c r="AA46" i="50"/>
  <c r="AK46" i="50" s="1"/>
  <c r="AV46" i="50" s="1"/>
  <c r="AD48" i="50"/>
  <c r="X42" i="50"/>
  <c r="Y42" i="50" s="1"/>
  <c r="V43" i="50" s="1"/>
  <c r="AH43" i="50"/>
  <c r="I51" i="50"/>
  <c r="Q50" i="50"/>
  <c r="AT41" i="49"/>
  <c r="AQ42" i="49" s="1"/>
  <c r="AS42" i="49" s="1"/>
  <c r="N42" i="49"/>
  <c r="O42" i="49" s="1"/>
  <c r="M42" i="49"/>
  <c r="U42" i="49" s="1"/>
  <c r="W42" i="49" s="1"/>
  <c r="AE42" i="49"/>
  <c r="AG42" i="49" s="1"/>
  <c r="BA42" i="49"/>
  <c r="BC42" i="49" s="1"/>
  <c r="AR42" i="49"/>
  <c r="X41" i="49"/>
  <c r="Y41" i="49"/>
  <c r="V42" i="49" s="1"/>
  <c r="AH42" i="49"/>
  <c r="AI42" i="49" s="1"/>
  <c r="AF43" i="49" s="1"/>
  <c r="Q45" i="49"/>
  <c r="I46" i="49"/>
  <c r="AN43" i="49"/>
  <c r="AO43" i="49"/>
  <c r="K43" i="49"/>
  <c r="AW43" i="49"/>
  <c r="L43" i="49"/>
  <c r="AM44" i="49"/>
  <c r="J44" i="49"/>
  <c r="R44" i="49" s="1"/>
  <c r="S44" i="49" s="1"/>
  <c r="F44" i="49"/>
  <c r="E44" i="49"/>
  <c r="C45" i="49"/>
  <c r="AC44" i="49"/>
  <c r="AB44" i="49"/>
  <c r="AL44" i="49" s="1"/>
  <c r="G43" i="49"/>
  <c r="N43" i="49" s="1"/>
  <c r="O43" i="49" s="1"/>
  <c r="BD42" i="49"/>
  <c r="AA46" i="49"/>
  <c r="AK46" i="49" s="1"/>
  <c r="AV46" i="49" s="1"/>
  <c r="B47" i="49"/>
  <c r="AD47" i="49"/>
  <c r="T51" i="49"/>
  <c r="M45" i="52" l="1"/>
  <c r="U45" i="52" s="1"/>
  <c r="W45" i="52" s="1"/>
  <c r="AP45" i="52"/>
  <c r="BE42" i="49"/>
  <c r="BB43" i="49" s="1"/>
  <c r="O44" i="53"/>
  <c r="AR44" i="53"/>
  <c r="G44" i="49"/>
  <c r="BE43" i="50"/>
  <c r="BB44" i="50" s="1"/>
  <c r="AI43" i="53"/>
  <c r="AF44" i="53" s="1"/>
  <c r="AH44" i="53" s="1"/>
  <c r="AI44" i="53" s="1"/>
  <c r="AF45" i="53" s="1"/>
  <c r="M44" i="50"/>
  <c r="U44" i="50" s="1"/>
  <c r="W44" i="50" s="1"/>
  <c r="AI43" i="50"/>
  <c r="AF44" i="50" s="1"/>
  <c r="M43" i="49"/>
  <c r="U43" i="49" s="1"/>
  <c r="W43" i="49" s="1"/>
  <c r="G45" i="53"/>
  <c r="N45" i="53" s="1"/>
  <c r="AT43" i="53"/>
  <c r="AQ44" i="53" s="1"/>
  <c r="BE43" i="53"/>
  <c r="BB44" i="53" s="1"/>
  <c r="BD44" i="53" s="1"/>
  <c r="BE44" i="53" s="1"/>
  <c r="BB45" i="53" s="1"/>
  <c r="X43" i="53"/>
  <c r="Y43" i="53" s="1"/>
  <c r="V44" i="53" s="1"/>
  <c r="AC46" i="53"/>
  <c r="AB46" i="53"/>
  <c r="AL46" i="53" s="1"/>
  <c r="F46" i="53"/>
  <c r="E46" i="53"/>
  <c r="J46" i="53"/>
  <c r="R46" i="53" s="1"/>
  <c r="S46" i="53" s="1"/>
  <c r="C47" i="53"/>
  <c r="AM46" i="53"/>
  <c r="AD51" i="53"/>
  <c r="I47" i="53"/>
  <c r="Q46" i="53"/>
  <c r="T48" i="53"/>
  <c r="AA48" i="53"/>
  <c r="AK48" i="53" s="1"/>
  <c r="AV48" i="53" s="1"/>
  <c r="B49" i="53"/>
  <c r="AO45" i="53"/>
  <c r="AN45" i="53"/>
  <c r="L45" i="53"/>
  <c r="K45" i="53"/>
  <c r="AW45" i="53"/>
  <c r="BD45" i="52"/>
  <c r="BE45" i="52" s="1"/>
  <c r="BB46" i="52" s="1"/>
  <c r="AS44" i="52"/>
  <c r="AT44" i="52" s="1"/>
  <c r="AQ45" i="52" s="1"/>
  <c r="AA48" i="52"/>
  <c r="AK48" i="52" s="1"/>
  <c r="AV48" i="52" s="1"/>
  <c r="B49" i="52"/>
  <c r="AD47" i="52"/>
  <c r="T49" i="52"/>
  <c r="X45" i="52"/>
  <c r="Y45" i="52" s="1"/>
  <c r="V46" i="52" s="1"/>
  <c r="AN46" i="52"/>
  <c r="AO46" i="52"/>
  <c r="BA46" i="52"/>
  <c r="BC46" i="52" s="1"/>
  <c r="AP46" i="52"/>
  <c r="AE46" i="52"/>
  <c r="AG46" i="52" s="1"/>
  <c r="F47" i="52"/>
  <c r="AB47" i="52"/>
  <c r="AL47" i="52" s="1"/>
  <c r="AM47" i="52"/>
  <c r="AC47" i="52"/>
  <c r="J47" i="52"/>
  <c r="R47" i="52" s="1"/>
  <c r="S47" i="52" s="1"/>
  <c r="C48" i="52"/>
  <c r="E47" i="52"/>
  <c r="AW46" i="52"/>
  <c r="L46" i="52"/>
  <c r="M46" i="52" s="1"/>
  <c r="U46" i="52" s="1"/>
  <c r="W46" i="52" s="1"/>
  <c r="K46" i="52"/>
  <c r="N46" i="52"/>
  <c r="O46" i="52" s="1"/>
  <c r="AH45" i="52"/>
  <c r="AI45" i="52"/>
  <c r="AF46" i="52" s="1"/>
  <c r="AR45" i="52"/>
  <c r="Q47" i="52"/>
  <c r="I48" i="52"/>
  <c r="AP44" i="50"/>
  <c r="AR44" i="50" s="1"/>
  <c r="BA44" i="50"/>
  <c r="BC44" i="50" s="1"/>
  <c r="AE44" i="50"/>
  <c r="AG44" i="50" s="1"/>
  <c r="N44" i="50"/>
  <c r="O44" i="50" s="1"/>
  <c r="AT43" i="50"/>
  <c r="AQ44" i="50" s="1"/>
  <c r="X43" i="50"/>
  <c r="Y43" i="50" s="1"/>
  <c r="V44" i="50" s="1"/>
  <c r="AS44" i="50"/>
  <c r="BD44" i="50"/>
  <c r="AN45" i="50"/>
  <c r="AO45" i="50"/>
  <c r="G45" i="50"/>
  <c r="AD49" i="50"/>
  <c r="AH44" i="50"/>
  <c r="Q51" i="50"/>
  <c r="I52" i="50"/>
  <c r="L45" i="50"/>
  <c r="M45" i="50" s="1"/>
  <c r="U45" i="50" s="1"/>
  <c r="W45" i="50" s="1"/>
  <c r="K45" i="50"/>
  <c r="AW45" i="50"/>
  <c r="N45" i="50"/>
  <c r="AC46" i="50"/>
  <c r="F46" i="50"/>
  <c r="J46" i="50"/>
  <c r="R46" i="50" s="1"/>
  <c r="S46" i="50" s="1"/>
  <c r="E46" i="50"/>
  <c r="AM46" i="50"/>
  <c r="C47" i="50"/>
  <c r="AB46" i="50"/>
  <c r="AL46" i="50" s="1"/>
  <c r="AA47" i="50"/>
  <c r="AK47" i="50" s="1"/>
  <c r="AV47" i="50" s="1"/>
  <c r="B48" i="50"/>
  <c r="T47" i="50"/>
  <c r="AT42" i="49"/>
  <c r="AQ43" i="49" s="1"/>
  <c r="AS43" i="49" s="1"/>
  <c r="AH43" i="49"/>
  <c r="BD43" i="49"/>
  <c r="AW44" i="49"/>
  <c r="L44" i="49"/>
  <c r="M44" i="49" s="1"/>
  <c r="U44" i="49" s="1"/>
  <c r="W44" i="49" s="1"/>
  <c r="K44" i="49"/>
  <c r="N44" i="49"/>
  <c r="O44" i="49" s="1"/>
  <c r="AM45" i="49"/>
  <c r="J45" i="49"/>
  <c r="R45" i="49" s="1"/>
  <c r="S45" i="49" s="1"/>
  <c r="C46" i="49"/>
  <c r="F45" i="49"/>
  <c r="E45" i="49"/>
  <c r="AC45" i="49"/>
  <c r="AB45" i="49"/>
  <c r="AL45" i="49" s="1"/>
  <c r="AP44" i="49"/>
  <c r="AE44" i="49"/>
  <c r="AG44" i="49" s="1"/>
  <c r="BA44" i="49"/>
  <c r="BC44" i="49" s="1"/>
  <c r="AN44" i="49"/>
  <c r="AO44" i="49"/>
  <c r="T52" i="49"/>
  <c r="AD48" i="49"/>
  <c r="AA47" i="49"/>
  <c r="AK47" i="49" s="1"/>
  <c r="AV47" i="49" s="1"/>
  <c r="B48" i="49"/>
  <c r="I47" i="49"/>
  <c r="Q46" i="49"/>
  <c r="AE43" i="49"/>
  <c r="AG43" i="49" s="1"/>
  <c r="AI43" i="49" s="1"/>
  <c r="AF44" i="49" s="1"/>
  <c r="AP43" i="49"/>
  <c r="AR43" i="49" s="1"/>
  <c r="BA43" i="49"/>
  <c r="BC43" i="49" s="1"/>
  <c r="BE43" i="49" s="1"/>
  <c r="BB44" i="49" s="1"/>
  <c r="X42" i="49"/>
  <c r="Y42" i="49" s="1"/>
  <c r="V43" i="49" s="1"/>
  <c r="G45" i="49" l="1"/>
  <c r="AS44" i="53"/>
  <c r="AT44" i="53" s="1"/>
  <c r="AQ45" i="53" s="1"/>
  <c r="AS45" i="53" s="1"/>
  <c r="O45" i="53"/>
  <c r="AT44" i="50"/>
  <c r="AQ45" i="50" s="1"/>
  <c r="AS45" i="50" s="1"/>
  <c r="O45" i="50"/>
  <c r="AI44" i="50"/>
  <c r="AF45" i="50" s="1"/>
  <c r="AE45" i="53"/>
  <c r="AG45" i="53" s="1"/>
  <c r="AP45" i="53"/>
  <c r="AR45" i="53" s="1"/>
  <c r="M45" i="53"/>
  <c r="U45" i="53" s="1"/>
  <c r="W45" i="53" s="1"/>
  <c r="BA45" i="53"/>
  <c r="BC45" i="53" s="1"/>
  <c r="AH45" i="53"/>
  <c r="BD45" i="53"/>
  <c r="BE45" i="53" s="1"/>
  <c r="BB46" i="53" s="1"/>
  <c r="X44" i="53"/>
  <c r="Y44" i="53"/>
  <c r="V45" i="53" s="1"/>
  <c r="AM47" i="53"/>
  <c r="AB47" i="53"/>
  <c r="AL47" i="53" s="1"/>
  <c r="AC47" i="53"/>
  <c r="F47" i="53"/>
  <c r="E47" i="53"/>
  <c r="G47" i="53" s="1"/>
  <c r="J47" i="53"/>
  <c r="R47" i="53" s="1"/>
  <c r="S47" i="53" s="1"/>
  <c r="C48" i="53"/>
  <c r="AD52" i="53"/>
  <c r="K46" i="53"/>
  <c r="L46" i="53"/>
  <c r="AW46" i="53"/>
  <c r="B50" i="53"/>
  <c r="AA49" i="53"/>
  <c r="AK49" i="53" s="1"/>
  <c r="AV49" i="53" s="1"/>
  <c r="Q47" i="53"/>
  <c r="I48" i="53"/>
  <c r="AN46" i="53"/>
  <c r="AO46" i="53"/>
  <c r="G46" i="53"/>
  <c r="N46" i="53" s="1"/>
  <c r="O46" i="53" s="1"/>
  <c r="T49" i="53"/>
  <c r="AR46" i="52"/>
  <c r="G47" i="52"/>
  <c r="AP47" i="52" s="1"/>
  <c r="X46" i="52"/>
  <c r="Y46" i="52" s="1"/>
  <c r="V47" i="52" s="1"/>
  <c r="BD46" i="52"/>
  <c r="BE46" i="52" s="1"/>
  <c r="BB47" i="52" s="1"/>
  <c r="AH46" i="52"/>
  <c r="AI46" i="52" s="1"/>
  <c r="AF47" i="52" s="1"/>
  <c r="AD48" i="52"/>
  <c r="AO47" i="52"/>
  <c r="AN47" i="52"/>
  <c r="L47" i="52"/>
  <c r="K47" i="52"/>
  <c r="AW47" i="52"/>
  <c r="I49" i="52"/>
  <c r="Q48" i="52"/>
  <c r="T50" i="52"/>
  <c r="B50" i="52"/>
  <c r="AA49" i="52"/>
  <c r="AK49" i="52" s="1"/>
  <c r="AV49" i="52" s="1"/>
  <c r="AS45" i="52"/>
  <c r="AT45" i="52" s="1"/>
  <c r="AQ46" i="52" s="1"/>
  <c r="C49" i="52"/>
  <c r="J48" i="52"/>
  <c r="R48" i="52" s="1"/>
  <c r="S48" i="52" s="1"/>
  <c r="F48" i="52"/>
  <c r="E48" i="52"/>
  <c r="AM48" i="52"/>
  <c r="AB48" i="52"/>
  <c r="AL48" i="52" s="1"/>
  <c r="AC48" i="52"/>
  <c r="BE44" i="50"/>
  <c r="BB45" i="50" s="1"/>
  <c r="BD45" i="50" s="1"/>
  <c r="G46" i="50"/>
  <c r="AE46" i="50" s="1"/>
  <c r="AG46" i="50" s="1"/>
  <c r="X44" i="50"/>
  <c r="Y44" i="50" s="1"/>
  <c r="V45" i="50" s="1"/>
  <c r="Q52" i="50"/>
  <c r="I53" i="50"/>
  <c r="AE45" i="50"/>
  <c r="AG45" i="50" s="1"/>
  <c r="BA45" i="50"/>
  <c r="BC45" i="50" s="1"/>
  <c r="AP45" i="50"/>
  <c r="AR45" i="50" s="1"/>
  <c r="AH45" i="50"/>
  <c r="AI45" i="50"/>
  <c r="AF46" i="50" s="1"/>
  <c r="T48" i="50"/>
  <c r="B49" i="50"/>
  <c r="AA48" i="50"/>
  <c r="AK48" i="50" s="1"/>
  <c r="AV48" i="50" s="1"/>
  <c r="AD50" i="50"/>
  <c r="K46" i="50"/>
  <c r="L46" i="50"/>
  <c r="AW46" i="50"/>
  <c r="AB47" i="50"/>
  <c r="AL47" i="50" s="1"/>
  <c r="J47" i="50"/>
  <c r="R47" i="50" s="1"/>
  <c r="S47" i="50" s="1"/>
  <c r="AC47" i="50"/>
  <c r="F47" i="50"/>
  <c r="E47" i="50"/>
  <c r="G47" i="50" s="1"/>
  <c r="C48" i="50"/>
  <c r="AM47" i="50"/>
  <c r="AO46" i="50"/>
  <c r="AN46" i="50"/>
  <c r="AT43" i="49"/>
  <c r="AQ44" i="49" s="1"/>
  <c r="AS44" i="49" s="1"/>
  <c r="X43" i="49"/>
  <c r="Y43" i="49" s="1"/>
  <c r="V44" i="49" s="1"/>
  <c r="BD44" i="49"/>
  <c r="BE44" i="49" s="1"/>
  <c r="BB45" i="49" s="1"/>
  <c r="AH44" i="49"/>
  <c r="AI44" i="49" s="1"/>
  <c r="AF45" i="49" s="1"/>
  <c r="K45" i="49"/>
  <c r="L45" i="49"/>
  <c r="M45" i="49" s="1"/>
  <c r="U45" i="49" s="1"/>
  <c r="W45" i="49" s="1"/>
  <c r="AW45" i="49"/>
  <c r="N45" i="49"/>
  <c r="O45" i="49" s="1"/>
  <c r="AN45" i="49"/>
  <c r="AO45" i="49"/>
  <c r="Q47" i="49"/>
  <c r="I48" i="49"/>
  <c r="AP45" i="49"/>
  <c r="AE45" i="49"/>
  <c r="AG45" i="49" s="1"/>
  <c r="BA45" i="49"/>
  <c r="BC45" i="49" s="1"/>
  <c r="F46" i="49"/>
  <c r="J46" i="49"/>
  <c r="R46" i="49" s="1"/>
  <c r="S46" i="49" s="1"/>
  <c r="AB46" i="49"/>
  <c r="AL46" i="49" s="1"/>
  <c r="E46" i="49"/>
  <c r="G46" i="49" s="1"/>
  <c r="AM46" i="49"/>
  <c r="C47" i="49"/>
  <c r="AC46" i="49"/>
  <c r="B49" i="49"/>
  <c r="AA48" i="49"/>
  <c r="AK48" i="49" s="1"/>
  <c r="AV48" i="49" s="1"/>
  <c r="AD49" i="49"/>
  <c r="T53" i="49"/>
  <c r="AR44" i="49"/>
  <c r="M46" i="53" l="1"/>
  <c r="U46" i="53" s="1"/>
  <c r="W46" i="53" s="1"/>
  <c r="AI45" i="53"/>
  <c r="AF46" i="53" s="1"/>
  <c r="N47" i="52"/>
  <c r="M47" i="52"/>
  <c r="U47" i="52" s="1"/>
  <c r="W47" i="52" s="1"/>
  <c r="N46" i="50"/>
  <c r="O46" i="50" s="1"/>
  <c r="AT45" i="53"/>
  <c r="AQ46" i="53" s="1"/>
  <c r="AS46" i="53" s="1"/>
  <c r="BD46" i="53"/>
  <c r="AD53" i="53"/>
  <c r="F48" i="53"/>
  <c r="AC48" i="53"/>
  <c r="E48" i="53"/>
  <c r="AM48" i="53"/>
  <c r="AB48" i="53"/>
  <c r="AL48" i="53" s="1"/>
  <c r="J48" i="53"/>
  <c r="R48" i="53" s="1"/>
  <c r="S48" i="53" s="1"/>
  <c r="C49" i="53"/>
  <c r="AE47" i="53"/>
  <c r="AG47" i="53" s="1"/>
  <c r="AP47" i="53"/>
  <c r="BA47" i="53"/>
  <c r="BC47" i="53" s="1"/>
  <c r="AP46" i="53"/>
  <c r="AR46" i="53" s="1"/>
  <c r="AE46" i="53"/>
  <c r="AG46" i="53" s="1"/>
  <c r="AI46" i="53" s="1"/>
  <c r="AF47" i="53" s="1"/>
  <c r="BA46" i="53"/>
  <c r="BC46" i="53" s="1"/>
  <c r="T50" i="53"/>
  <c r="L47" i="53"/>
  <c r="M47" i="53" s="1"/>
  <c r="U47" i="53" s="1"/>
  <c r="W47" i="53" s="1"/>
  <c r="AW47" i="53"/>
  <c r="K47" i="53"/>
  <c r="N47" i="53"/>
  <c r="AO47" i="53"/>
  <c r="AN47" i="53"/>
  <c r="I49" i="53"/>
  <c r="Q48" i="53"/>
  <c r="X45" i="53"/>
  <c r="Y45" i="53" s="1"/>
  <c r="V46" i="53" s="1"/>
  <c r="AH46" i="53"/>
  <c r="B51" i="53"/>
  <c r="AA50" i="53"/>
  <c r="AK50" i="53" s="1"/>
  <c r="AV50" i="53" s="1"/>
  <c r="BA47" i="52"/>
  <c r="BC47" i="52" s="1"/>
  <c r="AE47" i="52"/>
  <c r="AG47" i="52" s="1"/>
  <c r="AR47" i="52"/>
  <c r="G48" i="52"/>
  <c r="AP48" i="52" s="1"/>
  <c r="BD47" i="52"/>
  <c r="BE47" i="52" s="1"/>
  <c r="BB48" i="52" s="1"/>
  <c r="AS46" i="52"/>
  <c r="AT46" i="52" s="1"/>
  <c r="AQ47" i="52" s="1"/>
  <c r="X47" i="52"/>
  <c r="K48" i="52"/>
  <c r="AW48" i="52"/>
  <c r="L48" i="52"/>
  <c r="AO48" i="52"/>
  <c r="AN48" i="52"/>
  <c r="B51" i="52"/>
  <c r="AA50" i="52"/>
  <c r="AK50" i="52" s="1"/>
  <c r="AV50" i="52" s="1"/>
  <c r="T51" i="52"/>
  <c r="I50" i="52"/>
  <c r="Q49" i="52"/>
  <c r="O47" i="52"/>
  <c r="AD49" i="52"/>
  <c r="AB49" i="52"/>
  <c r="AL49" i="52" s="1"/>
  <c r="J49" i="52"/>
  <c r="R49" i="52" s="1"/>
  <c r="S49" i="52" s="1"/>
  <c r="AM49" i="52"/>
  <c r="E49" i="52"/>
  <c r="C50" i="52"/>
  <c r="F49" i="52"/>
  <c r="AC49" i="52"/>
  <c r="AH47" i="52"/>
  <c r="M46" i="50"/>
  <c r="U46" i="50" s="1"/>
  <c r="W46" i="50" s="1"/>
  <c r="AP46" i="50"/>
  <c r="AR46" i="50" s="1"/>
  <c r="BA46" i="50"/>
  <c r="BC46" i="50" s="1"/>
  <c r="AT45" i="50"/>
  <c r="AQ46" i="50" s="1"/>
  <c r="AS46" i="50" s="1"/>
  <c r="BE45" i="50"/>
  <c r="BB46" i="50" s="1"/>
  <c r="BD46" i="50"/>
  <c r="X45" i="50"/>
  <c r="Y45" i="50" s="1"/>
  <c r="V46" i="50" s="1"/>
  <c r="AH46" i="50"/>
  <c r="AI46" i="50" s="1"/>
  <c r="AF47" i="50" s="1"/>
  <c r="AD51" i="50"/>
  <c r="B50" i="50"/>
  <c r="AA49" i="50"/>
  <c r="AK49" i="50" s="1"/>
  <c r="AV49" i="50" s="1"/>
  <c r="AO47" i="50"/>
  <c r="AN47" i="50"/>
  <c r="AC48" i="50"/>
  <c r="E48" i="50"/>
  <c r="C49" i="50"/>
  <c r="AB48" i="50"/>
  <c r="AL48" i="50" s="1"/>
  <c r="J48" i="50"/>
  <c r="R48" i="50" s="1"/>
  <c r="S48" i="50" s="1"/>
  <c r="AM48" i="50"/>
  <c r="F48" i="50"/>
  <c r="L47" i="50"/>
  <c r="M47" i="50" s="1"/>
  <c r="U47" i="50" s="1"/>
  <c r="W47" i="50" s="1"/>
  <c r="AW47" i="50"/>
  <c r="K47" i="50"/>
  <c r="N47" i="50"/>
  <c r="O47" i="50" s="1"/>
  <c r="T49" i="50"/>
  <c r="BA47" i="50"/>
  <c r="BC47" i="50" s="1"/>
  <c r="AE47" i="50"/>
  <c r="AG47" i="50" s="1"/>
  <c r="AP47" i="50"/>
  <c r="Q53" i="50"/>
  <c r="I54" i="50"/>
  <c r="AT44" i="49"/>
  <c r="AQ45" i="49" s="1"/>
  <c r="AS45" i="49" s="1"/>
  <c r="AH45" i="49"/>
  <c r="AI45" i="49" s="1"/>
  <c r="AF46" i="49" s="1"/>
  <c r="X44" i="49"/>
  <c r="Y44" i="49" s="1"/>
  <c r="V45" i="49" s="1"/>
  <c r="AR45" i="49"/>
  <c r="Q48" i="49"/>
  <c r="I49" i="49"/>
  <c r="T54" i="49"/>
  <c r="AD50" i="49"/>
  <c r="AA49" i="49"/>
  <c r="AK49" i="49" s="1"/>
  <c r="AV49" i="49" s="1"/>
  <c r="B50" i="49"/>
  <c r="F47" i="49"/>
  <c r="AM47" i="49"/>
  <c r="AB47" i="49"/>
  <c r="AL47" i="49" s="1"/>
  <c r="AC47" i="49"/>
  <c r="J47" i="49"/>
  <c r="R47" i="49" s="1"/>
  <c r="S47" i="49" s="1"/>
  <c r="E47" i="49"/>
  <c r="G47" i="49" s="1"/>
  <c r="C48" i="49"/>
  <c r="AO46" i="49"/>
  <c r="AN46" i="49"/>
  <c r="AE46" i="49"/>
  <c r="AG46" i="49" s="1"/>
  <c r="BA46" i="49"/>
  <c r="BC46" i="49" s="1"/>
  <c r="AP46" i="49"/>
  <c r="BD45" i="49"/>
  <c r="BE45" i="49" s="1"/>
  <c r="BB46" i="49" s="1"/>
  <c r="K46" i="49"/>
  <c r="AW46" i="49"/>
  <c r="L46" i="49"/>
  <c r="M46" i="49" s="1"/>
  <c r="U46" i="49" s="1"/>
  <c r="W46" i="49" s="1"/>
  <c r="N46" i="49"/>
  <c r="AR47" i="50" l="1"/>
  <c r="Y47" i="52"/>
  <c r="V48" i="52" s="1"/>
  <c r="BE46" i="53"/>
  <c r="BB47" i="53" s="1"/>
  <c r="BA48" i="52"/>
  <c r="BC48" i="52" s="1"/>
  <c r="N48" i="52"/>
  <c r="O48" i="52" s="1"/>
  <c r="AI47" i="52"/>
  <c r="AF48" i="52" s="1"/>
  <c r="M48" i="52"/>
  <c r="U48" i="52" s="1"/>
  <c r="W48" i="52" s="1"/>
  <c r="BE46" i="50"/>
  <c r="BB47" i="50" s="1"/>
  <c r="G48" i="53"/>
  <c r="BA48" i="53" s="1"/>
  <c r="BC48" i="53" s="1"/>
  <c r="AT46" i="53"/>
  <c r="AQ47" i="53" s="1"/>
  <c r="AS47" i="53" s="1"/>
  <c r="O47" i="53"/>
  <c r="BD47" i="53"/>
  <c r="BE47" i="53" s="1"/>
  <c r="BB48" i="53" s="1"/>
  <c r="AH47" i="53"/>
  <c r="AI47" i="53" s="1"/>
  <c r="AF48" i="53" s="1"/>
  <c r="X46" i="53"/>
  <c r="Y46" i="53"/>
  <c r="V47" i="53" s="1"/>
  <c r="T51" i="53"/>
  <c r="AA51" i="53"/>
  <c r="AK51" i="53" s="1"/>
  <c r="AV51" i="53" s="1"/>
  <c r="B52" i="53"/>
  <c r="AO48" i="53"/>
  <c r="AN48" i="53"/>
  <c r="AR47" i="53"/>
  <c r="C50" i="53"/>
  <c r="AC49" i="53"/>
  <c r="J49" i="53"/>
  <c r="R49" i="53" s="1"/>
  <c r="S49" i="53" s="1"/>
  <c r="F49" i="53"/>
  <c r="E49" i="53"/>
  <c r="G49" i="53" s="1"/>
  <c r="AB49" i="53"/>
  <c r="AL49" i="53" s="1"/>
  <c r="AM49" i="53"/>
  <c r="L48" i="53"/>
  <c r="K48" i="53"/>
  <c r="AW48" i="53"/>
  <c r="Q49" i="53"/>
  <c r="I50" i="53"/>
  <c r="AD54" i="53"/>
  <c r="AE48" i="52"/>
  <c r="AG48" i="52" s="1"/>
  <c r="AR48" i="52"/>
  <c r="AH48" i="52"/>
  <c r="AI48" i="52"/>
  <c r="AF49" i="52" s="1"/>
  <c r="X48" i="52"/>
  <c r="Y48" i="52" s="1"/>
  <c r="V49" i="52" s="1"/>
  <c r="BD48" i="52"/>
  <c r="C51" i="52"/>
  <c r="AC50" i="52"/>
  <c r="AB50" i="52"/>
  <c r="AL50" i="52" s="1"/>
  <c r="E50" i="52"/>
  <c r="F50" i="52"/>
  <c r="J50" i="52"/>
  <c r="R50" i="52" s="1"/>
  <c r="S50" i="52" s="1"/>
  <c r="AM50" i="52"/>
  <c r="G49" i="52"/>
  <c r="AO49" i="52"/>
  <c r="AN49" i="52"/>
  <c r="AD50" i="52"/>
  <c r="AS47" i="52"/>
  <c r="AT47" i="52" s="1"/>
  <c r="AQ48" i="52" s="1"/>
  <c r="T52" i="52"/>
  <c r="B52" i="52"/>
  <c r="AA51" i="52"/>
  <c r="AK51" i="52" s="1"/>
  <c r="AV51" i="52" s="1"/>
  <c r="L49" i="52"/>
  <c r="K49" i="52"/>
  <c r="AW49" i="52"/>
  <c r="Q50" i="52"/>
  <c r="I51" i="52"/>
  <c r="AT46" i="50"/>
  <c r="AQ47" i="50" s="1"/>
  <c r="AS47" i="50" s="1"/>
  <c r="AT47" i="50" s="1"/>
  <c r="AQ48" i="50" s="1"/>
  <c r="G48" i="50"/>
  <c r="BA48" i="50" s="1"/>
  <c r="BC48" i="50" s="1"/>
  <c r="AH47" i="50"/>
  <c r="AI47" i="50"/>
  <c r="AF48" i="50" s="1"/>
  <c r="X46" i="50"/>
  <c r="Y46" i="50" s="1"/>
  <c r="V47" i="50" s="1"/>
  <c r="L48" i="50"/>
  <c r="K48" i="50"/>
  <c r="AW48" i="50"/>
  <c r="Q54" i="50"/>
  <c r="I55" i="50"/>
  <c r="T50" i="50"/>
  <c r="BD47" i="50"/>
  <c r="BE47" i="50" s="1"/>
  <c r="BB48" i="50" s="1"/>
  <c r="E49" i="50"/>
  <c r="AM49" i="50"/>
  <c r="F49" i="50"/>
  <c r="C50" i="50"/>
  <c r="AC49" i="50"/>
  <c r="J49" i="50"/>
  <c r="R49" i="50" s="1"/>
  <c r="S49" i="50" s="1"/>
  <c r="AB49" i="50"/>
  <c r="AL49" i="50" s="1"/>
  <c r="B51" i="50"/>
  <c r="AA50" i="50"/>
  <c r="AK50" i="50" s="1"/>
  <c r="AV50" i="50" s="1"/>
  <c r="AD52" i="50"/>
  <c r="AO48" i="50"/>
  <c r="AN48" i="50"/>
  <c r="AT45" i="49"/>
  <c r="AQ46" i="49" s="1"/>
  <c r="AS46" i="49" s="1"/>
  <c r="X45" i="49"/>
  <c r="Y45" i="49" s="1"/>
  <c r="V46" i="49" s="1"/>
  <c r="AH46" i="49"/>
  <c r="AI46" i="49" s="1"/>
  <c r="AF47" i="49" s="1"/>
  <c r="AD51" i="49"/>
  <c r="T55" i="49"/>
  <c r="BD46" i="49"/>
  <c r="BE46" i="49"/>
  <c r="BB47" i="49" s="1"/>
  <c r="Q49" i="49"/>
  <c r="I50" i="49"/>
  <c r="AR46" i="49"/>
  <c r="C49" i="49"/>
  <c r="F48" i="49"/>
  <c r="E48" i="49"/>
  <c r="G48" i="49" s="1"/>
  <c r="AM48" i="49"/>
  <c r="AC48" i="49"/>
  <c r="AB48" i="49"/>
  <c r="AL48" i="49" s="1"/>
  <c r="J48" i="49"/>
  <c r="R48" i="49" s="1"/>
  <c r="S48" i="49" s="1"/>
  <c r="AE47" i="49"/>
  <c r="AG47" i="49" s="1"/>
  <c r="BA47" i="49"/>
  <c r="BC47" i="49" s="1"/>
  <c r="AP47" i="49"/>
  <c r="K47" i="49"/>
  <c r="L47" i="49"/>
  <c r="M47" i="49" s="1"/>
  <c r="U47" i="49" s="1"/>
  <c r="W47" i="49" s="1"/>
  <c r="AW47" i="49"/>
  <c r="N47" i="49"/>
  <c r="AO47" i="49"/>
  <c r="AN47" i="49"/>
  <c r="B51" i="49"/>
  <c r="AA50" i="49"/>
  <c r="AK50" i="49" s="1"/>
  <c r="AV50" i="49" s="1"/>
  <c r="O46" i="49"/>
  <c r="BE48" i="52" l="1"/>
  <c r="BB49" i="52" s="1"/>
  <c r="N48" i="53"/>
  <c r="O48" i="53" s="1"/>
  <c r="M48" i="53"/>
  <c r="U48" i="53" s="1"/>
  <c r="W48" i="53" s="1"/>
  <c r="AT47" i="53"/>
  <c r="AQ48" i="53" s="1"/>
  <c r="AE48" i="53"/>
  <c r="AG48" i="53" s="1"/>
  <c r="AP48" i="53"/>
  <c r="AR48" i="53" s="1"/>
  <c r="AS48" i="53"/>
  <c r="BD48" i="53"/>
  <c r="BE48" i="53" s="1"/>
  <c r="BB49" i="53" s="1"/>
  <c r="AD55" i="53"/>
  <c r="AP49" i="53"/>
  <c r="BA49" i="53"/>
  <c r="BC49" i="53" s="1"/>
  <c r="AE49" i="53"/>
  <c r="AG49" i="53" s="1"/>
  <c r="B53" i="53"/>
  <c r="AA52" i="53"/>
  <c r="AK52" i="53" s="1"/>
  <c r="AV52" i="53" s="1"/>
  <c r="C51" i="53"/>
  <c r="AM50" i="53"/>
  <c r="AB50" i="53"/>
  <c r="AL50" i="53" s="1"/>
  <c r="AC50" i="53"/>
  <c r="F50" i="53"/>
  <c r="J50" i="53"/>
  <c r="R50" i="53" s="1"/>
  <c r="S50" i="53" s="1"/>
  <c r="E50" i="53"/>
  <c r="T52" i="53"/>
  <c r="I51" i="53"/>
  <c r="Q50" i="53"/>
  <c r="X47" i="53"/>
  <c r="Y47" i="53" s="1"/>
  <c r="V48" i="53" s="1"/>
  <c r="AH48" i="53"/>
  <c r="AI48" i="53"/>
  <c r="AF49" i="53" s="1"/>
  <c r="AO49" i="53"/>
  <c r="AN49" i="53"/>
  <c r="L49" i="53"/>
  <c r="M49" i="53" s="1"/>
  <c r="U49" i="53" s="1"/>
  <c r="W49" i="53" s="1"/>
  <c r="AW49" i="53"/>
  <c r="K49" i="53"/>
  <c r="N49" i="53"/>
  <c r="O49" i="53" s="1"/>
  <c r="AS48" i="52"/>
  <c r="AT48" i="52"/>
  <c r="AQ49" i="52" s="1"/>
  <c r="BD49" i="52"/>
  <c r="X49" i="52"/>
  <c r="AD51" i="52"/>
  <c r="AO50" i="52"/>
  <c r="AN50" i="52"/>
  <c r="G50" i="52"/>
  <c r="AW50" i="52"/>
  <c r="K50" i="52"/>
  <c r="L50" i="52"/>
  <c r="M50" i="52" s="1"/>
  <c r="U50" i="52" s="1"/>
  <c r="W50" i="52" s="1"/>
  <c r="N50" i="52"/>
  <c r="O50" i="52" s="1"/>
  <c r="BA49" i="52"/>
  <c r="BC49" i="52" s="1"/>
  <c r="AP49" i="52"/>
  <c r="AR49" i="52" s="1"/>
  <c r="AE49" i="52"/>
  <c r="AG49" i="52" s="1"/>
  <c r="Q51" i="52"/>
  <c r="I52" i="52"/>
  <c r="N49" i="52"/>
  <c r="O49" i="52" s="1"/>
  <c r="M49" i="52"/>
  <c r="U49" i="52" s="1"/>
  <c r="W49" i="52" s="1"/>
  <c r="F51" i="52"/>
  <c r="AB51" i="52"/>
  <c r="AL51" i="52" s="1"/>
  <c r="C52" i="52"/>
  <c r="J51" i="52"/>
  <c r="R51" i="52" s="1"/>
  <c r="S51" i="52" s="1"/>
  <c r="E51" i="52"/>
  <c r="AM51" i="52"/>
  <c r="AC51" i="52"/>
  <c r="AA52" i="52"/>
  <c r="AK52" i="52" s="1"/>
  <c r="AV52" i="52" s="1"/>
  <c r="B53" i="52"/>
  <c r="AH49" i="52"/>
  <c r="T53" i="52"/>
  <c r="N48" i="50"/>
  <c r="O48" i="50" s="1"/>
  <c r="M48" i="50"/>
  <c r="U48" i="50" s="1"/>
  <c r="W48" i="50" s="1"/>
  <c r="AE48" i="50"/>
  <c r="AG48" i="50" s="1"/>
  <c r="AP48" i="50"/>
  <c r="AR48" i="50" s="1"/>
  <c r="BD48" i="50"/>
  <c r="BE48" i="50" s="1"/>
  <c r="BB49" i="50" s="1"/>
  <c r="X47" i="50"/>
  <c r="Y47" i="50" s="1"/>
  <c r="V48" i="50" s="1"/>
  <c r="AS48" i="50"/>
  <c r="AA51" i="50"/>
  <c r="AK51" i="50" s="1"/>
  <c r="AV51" i="50" s="1"/>
  <c r="B52" i="50"/>
  <c r="AH48" i="50"/>
  <c r="AI48" i="50" s="1"/>
  <c r="AF49" i="50" s="1"/>
  <c r="T51" i="50"/>
  <c r="Q55" i="50"/>
  <c r="I56" i="50"/>
  <c r="AD53" i="50"/>
  <c r="L49" i="50"/>
  <c r="M49" i="50" s="1"/>
  <c r="U49" i="50" s="1"/>
  <c r="W49" i="50" s="1"/>
  <c r="AW49" i="50"/>
  <c r="K49" i="50"/>
  <c r="J50" i="50"/>
  <c r="R50" i="50" s="1"/>
  <c r="S50" i="50" s="1"/>
  <c r="AC50" i="50"/>
  <c r="AB50" i="50"/>
  <c r="AL50" i="50" s="1"/>
  <c r="AM50" i="50"/>
  <c r="F50" i="50"/>
  <c r="E50" i="50"/>
  <c r="G50" i="50" s="1"/>
  <c r="C51" i="50"/>
  <c r="AO49" i="50"/>
  <c r="AN49" i="50"/>
  <c r="G49" i="50"/>
  <c r="AT46" i="49"/>
  <c r="AQ47" i="49" s="1"/>
  <c r="AS47" i="49" s="1"/>
  <c r="AR47" i="49"/>
  <c r="O47" i="49"/>
  <c r="AH47" i="49"/>
  <c r="AI47" i="49" s="1"/>
  <c r="AF48" i="49" s="1"/>
  <c r="X46" i="49"/>
  <c r="Y46" i="49" s="1"/>
  <c r="V47" i="49" s="1"/>
  <c r="BD47" i="49"/>
  <c r="BE47" i="49" s="1"/>
  <c r="BB48" i="49" s="1"/>
  <c r="AO48" i="49"/>
  <c r="AN48" i="49"/>
  <c r="BA48" i="49"/>
  <c r="BC48" i="49" s="1"/>
  <c r="AE48" i="49"/>
  <c r="AG48" i="49" s="1"/>
  <c r="AP48" i="49"/>
  <c r="AB49" i="49"/>
  <c r="AL49" i="49" s="1"/>
  <c r="E49" i="49"/>
  <c r="C50" i="49"/>
  <c r="F49" i="49"/>
  <c r="AC49" i="49"/>
  <c r="AM49" i="49"/>
  <c r="J49" i="49"/>
  <c r="R49" i="49" s="1"/>
  <c r="S49" i="49" s="1"/>
  <c r="I51" i="49"/>
  <c r="Q50" i="49"/>
  <c r="B52" i="49"/>
  <c r="AA51" i="49"/>
  <c r="AK51" i="49" s="1"/>
  <c r="AV51" i="49" s="1"/>
  <c r="T56" i="49"/>
  <c r="AD52" i="49"/>
  <c r="L48" i="49"/>
  <c r="M48" i="49" s="1"/>
  <c r="U48" i="49" s="1"/>
  <c r="W48" i="49" s="1"/>
  <c r="K48" i="49"/>
  <c r="AW48" i="49"/>
  <c r="N48" i="49"/>
  <c r="AT48" i="53" l="1"/>
  <c r="AQ49" i="53" s="1"/>
  <c r="O48" i="49"/>
  <c r="AR49" i="53"/>
  <c r="BE49" i="52"/>
  <c r="BB50" i="52" s="1"/>
  <c r="AT48" i="50"/>
  <c r="AQ49" i="50" s="1"/>
  <c r="G50" i="53"/>
  <c r="BA50" i="53" s="1"/>
  <c r="BC50" i="53" s="1"/>
  <c r="X48" i="53"/>
  <c r="Y48" i="53"/>
  <c r="V49" i="53" s="1"/>
  <c r="AO50" i="53"/>
  <c r="AN50" i="53"/>
  <c r="L50" i="53"/>
  <c r="K50" i="53"/>
  <c r="AW50" i="53"/>
  <c r="J51" i="53"/>
  <c r="R51" i="53" s="1"/>
  <c r="S51" i="53" s="1"/>
  <c r="AC51" i="53"/>
  <c r="AB51" i="53"/>
  <c r="AL51" i="53" s="1"/>
  <c r="F51" i="53"/>
  <c r="C52" i="53"/>
  <c r="E51" i="53"/>
  <c r="AM51" i="53"/>
  <c r="AA53" i="53"/>
  <c r="AK53" i="53" s="1"/>
  <c r="AV53" i="53" s="1"/>
  <c r="B54" i="53"/>
  <c r="AD56" i="53"/>
  <c r="T53" i="53"/>
  <c r="AH49" i="53"/>
  <c r="AI49" i="53"/>
  <c r="AF50" i="53" s="1"/>
  <c r="BD49" i="53"/>
  <c r="BE49" i="53" s="1"/>
  <c r="BB50" i="53" s="1"/>
  <c r="AS49" i="53"/>
  <c r="AT49" i="53"/>
  <c r="AQ50" i="53" s="1"/>
  <c r="Q51" i="53"/>
  <c r="I52" i="53"/>
  <c r="AI49" i="52"/>
  <c r="AF50" i="52" s="1"/>
  <c r="AH50" i="52" s="1"/>
  <c r="G51" i="52"/>
  <c r="AE51" i="52" s="1"/>
  <c r="AG51" i="52" s="1"/>
  <c r="Y49" i="52"/>
  <c r="V50" i="52" s="1"/>
  <c r="X50" i="52" s="1"/>
  <c r="BD50" i="52"/>
  <c r="T54" i="52"/>
  <c r="AA53" i="52"/>
  <c r="AK53" i="52" s="1"/>
  <c r="AV53" i="52" s="1"/>
  <c r="B54" i="52"/>
  <c r="BA50" i="52"/>
  <c r="BC50" i="52" s="1"/>
  <c r="BE50" i="52" s="1"/>
  <c r="BB51" i="52" s="1"/>
  <c r="AE50" i="52"/>
  <c r="AG50" i="52" s="1"/>
  <c r="AP50" i="52"/>
  <c r="AR50" i="52" s="1"/>
  <c r="AO51" i="52"/>
  <c r="AN51" i="52"/>
  <c r="AD52" i="52"/>
  <c r="C53" i="52"/>
  <c r="J52" i="52"/>
  <c r="R52" i="52" s="1"/>
  <c r="S52" i="52" s="1"/>
  <c r="E52" i="52"/>
  <c r="AM52" i="52"/>
  <c r="F52" i="52"/>
  <c r="AC52" i="52"/>
  <c r="AB52" i="52"/>
  <c r="AL52" i="52" s="1"/>
  <c r="L51" i="52"/>
  <c r="K51" i="52"/>
  <c r="AW51" i="52"/>
  <c r="I53" i="52"/>
  <c r="Q52" i="52"/>
  <c r="AS49" i="52"/>
  <c r="AT49" i="52"/>
  <c r="AQ50" i="52" s="1"/>
  <c r="AH49" i="50"/>
  <c r="X48" i="50"/>
  <c r="Y48" i="50" s="1"/>
  <c r="V49" i="50" s="1"/>
  <c r="BD49" i="50"/>
  <c r="I57" i="50"/>
  <c r="Q56" i="50"/>
  <c r="T52" i="50"/>
  <c r="AP50" i="50"/>
  <c r="AE50" i="50"/>
  <c r="AG50" i="50" s="1"/>
  <c r="BA50" i="50"/>
  <c r="BC50" i="50" s="1"/>
  <c r="AS49" i="50"/>
  <c r="AD54" i="50"/>
  <c r="AP49" i="50"/>
  <c r="AR49" i="50" s="1"/>
  <c r="AT49" i="50" s="1"/>
  <c r="AQ50" i="50" s="1"/>
  <c r="BA49" i="50"/>
  <c r="BC49" i="50" s="1"/>
  <c r="AE49" i="50"/>
  <c r="AG49" i="50" s="1"/>
  <c r="J51" i="50"/>
  <c r="R51" i="50" s="1"/>
  <c r="S51" i="50" s="1"/>
  <c r="F51" i="50"/>
  <c r="E51" i="50"/>
  <c r="G51" i="50" s="1"/>
  <c r="AC51" i="50"/>
  <c r="C52" i="50"/>
  <c r="AB51" i="50"/>
  <c r="AL51" i="50" s="1"/>
  <c r="AM51" i="50"/>
  <c r="AA52" i="50"/>
  <c r="AK52" i="50" s="1"/>
  <c r="AV52" i="50" s="1"/>
  <c r="B53" i="50"/>
  <c r="AO50" i="50"/>
  <c r="AN50" i="50"/>
  <c r="K50" i="50"/>
  <c r="AW50" i="50"/>
  <c r="L50" i="50"/>
  <c r="M50" i="50" s="1"/>
  <c r="U50" i="50" s="1"/>
  <c r="W50" i="50" s="1"/>
  <c r="N50" i="50"/>
  <c r="O50" i="50" s="1"/>
  <c r="N49" i="50"/>
  <c r="O49" i="50" s="1"/>
  <c r="AT47" i="49"/>
  <c r="AQ48" i="49" s="1"/>
  <c r="AS48" i="49" s="1"/>
  <c r="X47" i="49"/>
  <c r="Y47" i="49" s="1"/>
  <c r="V48" i="49" s="1"/>
  <c r="AO49" i="49"/>
  <c r="AN49" i="49"/>
  <c r="E50" i="49"/>
  <c r="C51" i="49"/>
  <c r="AC50" i="49"/>
  <c r="AM50" i="49"/>
  <c r="J50" i="49"/>
  <c r="R50" i="49" s="1"/>
  <c r="S50" i="49" s="1"/>
  <c r="AB50" i="49"/>
  <c r="AL50" i="49" s="1"/>
  <c r="F50" i="49"/>
  <c r="G49" i="49"/>
  <c r="K49" i="49"/>
  <c r="L49" i="49"/>
  <c r="AW49" i="49"/>
  <c r="AR48" i="49"/>
  <c r="AD53" i="49"/>
  <c r="BD48" i="49"/>
  <c r="BE48" i="49"/>
  <c r="BB49" i="49" s="1"/>
  <c r="T57" i="49"/>
  <c r="AH48" i="49"/>
  <c r="AI48" i="49" s="1"/>
  <c r="AF49" i="49" s="1"/>
  <c r="B53" i="49"/>
  <c r="AA52" i="49"/>
  <c r="AK52" i="49" s="1"/>
  <c r="AV52" i="49" s="1"/>
  <c r="I52" i="49"/>
  <c r="Q51" i="49"/>
  <c r="AI50" i="52" l="1"/>
  <c r="AF51" i="52" s="1"/>
  <c r="AT48" i="49"/>
  <c r="AQ49" i="49" s="1"/>
  <c r="AS49" i="49" s="1"/>
  <c r="N51" i="52"/>
  <c r="O51" i="52" s="1"/>
  <c r="M51" i="52"/>
  <c r="U51" i="52" s="1"/>
  <c r="W51" i="52" s="1"/>
  <c r="Y50" i="52"/>
  <c r="V51" i="52" s="1"/>
  <c r="AI49" i="50"/>
  <c r="AF50" i="50" s="1"/>
  <c r="AH50" i="50" s="1"/>
  <c r="AI50" i="50" s="1"/>
  <c r="AF51" i="50" s="1"/>
  <c r="G51" i="53"/>
  <c r="N51" i="53" s="1"/>
  <c r="AE50" i="53"/>
  <c r="AG50" i="53" s="1"/>
  <c r="N50" i="53"/>
  <c r="O50" i="53" s="1"/>
  <c r="M50" i="53"/>
  <c r="U50" i="53" s="1"/>
  <c r="W50" i="53" s="1"/>
  <c r="AP50" i="53"/>
  <c r="BD50" i="53"/>
  <c r="BE50" i="53" s="1"/>
  <c r="BB51" i="53" s="1"/>
  <c r="F52" i="53"/>
  <c r="E52" i="53"/>
  <c r="G52" i="53" s="1"/>
  <c r="C53" i="53"/>
  <c r="AM52" i="53"/>
  <c r="J52" i="53"/>
  <c r="R52" i="53" s="1"/>
  <c r="S52" i="53" s="1"/>
  <c r="AB52" i="53"/>
  <c r="AL52" i="53" s="1"/>
  <c r="AC52" i="53"/>
  <c r="AD57" i="53"/>
  <c r="AA54" i="53"/>
  <c r="AK54" i="53" s="1"/>
  <c r="AV54" i="53" s="1"/>
  <c r="B55" i="53"/>
  <c r="AO51" i="53"/>
  <c r="AN51" i="53"/>
  <c r="I53" i="53"/>
  <c r="Q52" i="53"/>
  <c r="L51" i="53"/>
  <c r="AW51" i="53"/>
  <c r="K51" i="53"/>
  <c r="AS50" i="53"/>
  <c r="AH50" i="53"/>
  <c r="AR50" i="53"/>
  <c r="T54" i="53"/>
  <c r="X49" i="53"/>
  <c r="Y49" i="53" s="1"/>
  <c r="V50" i="53" s="1"/>
  <c r="AP51" i="52"/>
  <c r="BA51" i="52"/>
  <c r="BC51" i="52" s="1"/>
  <c r="AH51" i="52"/>
  <c r="AI51" i="52" s="1"/>
  <c r="AF52" i="52" s="1"/>
  <c r="BD51" i="52"/>
  <c r="BE51" i="52" s="1"/>
  <c r="BB52" i="52" s="1"/>
  <c r="B55" i="52"/>
  <c r="AA54" i="52"/>
  <c r="AK54" i="52" s="1"/>
  <c r="AV54" i="52" s="1"/>
  <c r="Q53" i="52"/>
  <c r="I54" i="52"/>
  <c r="AW52" i="52"/>
  <c r="L52" i="52"/>
  <c r="K52" i="52"/>
  <c r="T55" i="52"/>
  <c r="AO52" i="52"/>
  <c r="AN52" i="52"/>
  <c r="AB53" i="52"/>
  <c r="AL53" i="52" s="1"/>
  <c r="J53" i="52"/>
  <c r="R53" i="52" s="1"/>
  <c r="S53" i="52" s="1"/>
  <c r="F53" i="52"/>
  <c r="AM53" i="52"/>
  <c r="E53" i="52"/>
  <c r="AC53" i="52"/>
  <c r="C54" i="52"/>
  <c r="AS50" i="52"/>
  <c r="AT50" i="52"/>
  <c r="AQ51" i="52" s="1"/>
  <c r="AR51" i="52"/>
  <c r="X51" i="52"/>
  <c r="Y51" i="52" s="1"/>
  <c r="V52" i="52" s="1"/>
  <c r="G52" i="52"/>
  <c r="N52" i="52" s="1"/>
  <c r="AD53" i="52"/>
  <c r="BE49" i="50"/>
  <c r="BB50" i="50" s="1"/>
  <c r="BD50" i="50" s="1"/>
  <c r="BE50" i="50" s="1"/>
  <c r="BB51" i="50" s="1"/>
  <c r="AR50" i="50"/>
  <c r="AS50" i="50"/>
  <c r="X49" i="50"/>
  <c r="Y49" i="50" s="1"/>
  <c r="V50" i="50" s="1"/>
  <c r="AD55" i="50"/>
  <c r="AO51" i="50"/>
  <c r="AN51" i="50"/>
  <c r="Q57" i="50"/>
  <c r="I58" i="50"/>
  <c r="B54" i="50"/>
  <c r="AA53" i="50"/>
  <c r="AK53" i="50" s="1"/>
  <c r="AV53" i="50" s="1"/>
  <c r="T53" i="50"/>
  <c r="L51" i="50"/>
  <c r="M51" i="50" s="1"/>
  <c r="U51" i="50" s="1"/>
  <c r="W51" i="50" s="1"/>
  <c r="AW51" i="50"/>
  <c r="K51" i="50"/>
  <c r="N51" i="50"/>
  <c r="AM52" i="50"/>
  <c r="AC52" i="50"/>
  <c r="C53" i="50"/>
  <c r="AB52" i="50"/>
  <c r="AL52" i="50" s="1"/>
  <c r="F52" i="50"/>
  <c r="E52" i="50"/>
  <c r="J52" i="50"/>
  <c r="R52" i="50" s="1"/>
  <c r="S52" i="50" s="1"/>
  <c r="AP51" i="50"/>
  <c r="BA51" i="50"/>
  <c r="BC51" i="50" s="1"/>
  <c r="AE51" i="50"/>
  <c r="AG51" i="50" s="1"/>
  <c r="AH49" i="49"/>
  <c r="X48" i="49"/>
  <c r="Y48" i="49" s="1"/>
  <c r="V49" i="49" s="1"/>
  <c r="AE49" i="49"/>
  <c r="AG49" i="49" s="1"/>
  <c r="AP49" i="49"/>
  <c r="AR49" i="49" s="1"/>
  <c r="BA49" i="49"/>
  <c r="BC49" i="49" s="1"/>
  <c r="I53" i="49"/>
  <c r="Q52" i="49"/>
  <c r="AA53" i="49"/>
  <c r="AK53" i="49" s="1"/>
  <c r="AV53" i="49" s="1"/>
  <c r="B54" i="49"/>
  <c r="J51" i="49"/>
  <c r="R51" i="49" s="1"/>
  <c r="S51" i="49" s="1"/>
  <c r="C52" i="49"/>
  <c r="AC51" i="49"/>
  <c r="AB51" i="49"/>
  <c r="AL51" i="49" s="1"/>
  <c r="AM51" i="49"/>
  <c r="F51" i="49"/>
  <c r="E51" i="49"/>
  <c r="G50" i="49"/>
  <c r="N50" i="49" s="1"/>
  <c r="T58" i="49"/>
  <c r="BD49" i="49"/>
  <c r="AD54" i="49"/>
  <c r="N49" i="49"/>
  <c r="O49" i="49" s="1"/>
  <c r="M49" i="49"/>
  <c r="U49" i="49" s="1"/>
  <c r="W49" i="49" s="1"/>
  <c r="L50" i="49"/>
  <c r="AW50" i="49"/>
  <c r="K50" i="49"/>
  <c r="AO50" i="49"/>
  <c r="AN50" i="49"/>
  <c r="G52" i="50" l="1"/>
  <c r="O51" i="50"/>
  <c r="O51" i="53"/>
  <c r="O50" i="49"/>
  <c r="O52" i="52"/>
  <c r="AT50" i="53"/>
  <c r="AQ51" i="53" s="1"/>
  <c r="AI50" i="53"/>
  <c r="AF51" i="53" s="1"/>
  <c r="AT50" i="50"/>
  <c r="AQ51" i="50" s="1"/>
  <c r="M52" i="52"/>
  <c r="U52" i="52" s="1"/>
  <c r="W52" i="52" s="1"/>
  <c r="BA51" i="53"/>
  <c r="BC51" i="53" s="1"/>
  <c r="AP51" i="53"/>
  <c r="M51" i="53"/>
  <c r="U51" i="53" s="1"/>
  <c r="W51" i="53" s="1"/>
  <c r="AE51" i="53"/>
  <c r="AG51" i="53" s="1"/>
  <c r="X50" i="53"/>
  <c r="Y50" i="53" s="1"/>
  <c r="V51" i="53" s="1"/>
  <c r="AS51" i="53"/>
  <c r="AH51" i="53"/>
  <c r="AI51" i="53"/>
  <c r="AF52" i="53" s="1"/>
  <c r="BD51" i="53"/>
  <c r="AR51" i="53"/>
  <c r="AT51" i="53" s="1"/>
  <c r="AQ52" i="53" s="1"/>
  <c r="AA55" i="53"/>
  <c r="AK55" i="53" s="1"/>
  <c r="AV55" i="53" s="1"/>
  <c r="B56" i="53"/>
  <c r="AD58" i="53"/>
  <c r="L52" i="53"/>
  <c r="M52" i="53" s="1"/>
  <c r="U52" i="53" s="1"/>
  <c r="W52" i="53" s="1"/>
  <c r="K52" i="53"/>
  <c r="N52" i="53"/>
  <c r="O52" i="53" s="1"/>
  <c r="AW52" i="53"/>
  <c r="AO52" i="53"/>
  <c r="AN52" i="53"/>
  <c r="AB53" i="53"/>
  <c r="AL53" i="53" s="1"/>
  <c r="J53" i="53"/>
  <c r="R53" i="53" s="1"/>
  <c r="S53" i="53" s="1"/>
  <c r="AM53" i="53"/>
  <c r="F53" i="53"/>
  <c r="E53" i="53"/>
  <c r="G53" i="53" s="1"/>
  <c r="C54" i="53"/>
  <c r="AC53" i="53"/>
  <c r="I54" i="53"/>
  <c r="Q53" i="53"/>
  <c r="T55" i="53"/>
  <c r="AE52" i="53"/>
  <c r="AG52" i="53" s="1"/>
  <c r="AP52" i="53"/>
  <c r="BA52" i="53"/>
  <c r="BC52" i="53" s="1"/>
  <c r="X52" i="52"/>
  <c r="BD52" i="52"/>
  <c r="L53" i="52"/>
  <c r="K53" i="52"/>
  <c r="AW53" i="52"/>
  <c r="T56" i="52"/>
  <c r="AD54" i="52"/>
  <c r="AE52" i="52"/>
  <c r="AG52" i="52" s="1"/>
  <c r="AP52" i="52"/>
  <c r="AR52" i="52" s="1"/>
  <c r="BA52" i="52"/>
  <c r="BC52" i="52" s="1"/>
  <c r="Q54" i="52"/>
  <c r="I55" i="52"/>
  <c r="AS51" i="52"/>
  <c r="AT51" i="52" s="1"/>
  <c r="AQ52" i="52" s="1"/>
  <c r="B56" i="52"/>
  <c r="AA55" i="52"/>
  <c r="AK55" i="52" s="1"/>
  <c r="AV55" i="52" s="1"/>
  <c r="E54" i="52"/>
  <c r="J54" i="52"/>
  <c r="R54" i="52" s="1"/>
  <c r="S54" i="52" s="1"/>
  <c r="F54" i="52"/>
  <c r="AC54" i="52"/>
  <c r="AB54" i="52"/>
  <c r="AL54" i="52" s="1"/>
  <c r="AM54" i="52"/>
  <c r="C55" i="52"/>
  <c r="G53" i="52"/>
  <c r="AH52" i="52"/>
  <c r="AO53" i="52"/>
  <c r="AN53" i="52"/>
  <c r="BD51" i="50"/>
  <c r="BE51" i="50" s="1"/>
  <c r="BB52" i="50" s="1"/>
  <c r="B55" i="50"/>
  <c r="AA54" i="50"/>
  <c r="AK54" i="50" s="1"/>
  <c r="AV54" i="50" s="1"/>
  <c r="AH51" i="50"/>
  <c r="AI51" i="50" s="1"/>
  <c r="AF52" i="50" s="1"/>
  <c r="AR51" i="50"/>
  <c r="X50" i="50"/>
  <c r="Y50" i="50" s="1"/>
  <c r="V51" i="50" s="1"/>
  <c r="AN52" i="50"/>
  <c r="AO52" i="50"/>
  <c r="T54" i="50"/>
  <c r="Q58" i="50"/>
  <c r="I59" i="50"/>
  <c r="AE52" i="50"/>
  <c r="AG52" i="50" s="1"/>
  <c r="AP52" i="50"/>
  <c r="BA52" i="50"/>
  <c r="BC52" i="50" s="1"/>
  <c r="K52" i="50"/>
  <c r="AW52" i="50"/>
  <c r="L52" i="50"/>
  <c r="M52" i="50" s="1"/>
  <c r="U52" i="50" s="1"/>
  <c r="W52" i="50" s="1"/>
  <c r="N52" i="50"/>
  <c r="AD56" i="50"/>
  <c r="F53" i="50"/>
  <c r="E53" i="50"/>
  <c r="AC53" i="50"/>
  <c r="AM53" i="50"/>
  <c r="C54" i="50"/>
  <c r="AB53" i="50"/>
  <c r="AL53" i="50" s="1"/>
  <c r="J53" i="50"/>
  <c r="R53" i="50" s="1"/>
  <c r="S53" i="50" s="1"/>
  <c r="AS51" i="50"/>
  <c r="AT51" i="50" s="1"/>
  <c r="AQ52" i="50" s="1"/>
  <c r="AT49" i="49"/>
  <c r="AQ50" i="49" s="1"/>
  <c r="AS50" i="49" s="1"/>
  <c r="G51" i="49"/>
  <c r="AP51" i="49" s="1"/>
  <c r="BE49" i="49"/>
  <c r="BB50" i="49" s="1"/>
  <c r="BD50" i="49" s="1"/>
  <c r="M50" i="49"/>
  <c r="U50" i="49" s="1"/>
  <c r="W50" i="49" s="1"/>
  <c r="AI49" i="49"/>
  <c r="AF50" i="49" s="1"/>
  <c r="AH50" i="49" s="1"/>
  <c r="X49" i="49"/>
  <c r="Y49" i="49" s="1"/>
  <c r="V50" i="49" s="1"/>
  <c r="AC52" i="49"/>
  <c r="AM52" i="49"/>
  <c r="J52" i="49"/>
  <c r="R52" i="49" s="1"/>
  <c r="S52" i="49" s="1"/>
  <c r="E52" i="49"/>
  <c r="F52" i="49"/>
  <c r="C53" i="49"/>
  <c r="AB52" i="49"/>
  <c r="AL52" i="49" s="1"/>
  <c r="AA54" i="49"/>
  <c r="AK54" i="49" s="1"/>
  <c r="AV54" i="49" s="1"/>
  <c r="B55" i="49"/>
  <c r="Q53" i="49"/>
  <c r="I54" i="49"/>
  <c r="AO51" i="49"/>
  <c r="AN51" i="49"/>
  <c r="K51" i="49"/>
  <c r="AW51" i="49"/>
  <c r="L51" i="49"/>
  <c r="M51" i="49" s="1"/>
  <c r="U51" i="49" s="1"/>
  <c r="W51" i="49" s="1"/>
  <c r="N51" i="49"/>
  <c r="O51" i="49" s="1"/>
  <c r="AD55" i="49"/>
  <c r="T59" i="49"/>
  <c r="AP50" i="49"/>
  <c r="AR50" i="49" s="1"/>
  <c r="AE50" i="49"/>
  <c r="AG50" i="49" s="1"/>
  <c r="BA50" i="49"/>
  <c r="BC50" i="49" s="1"/>
  <c r="AI50" i="49" l="1"/>
  <c r="AF51" i="49" s="1"/>
  <c r="Y52" i="52"/>
  <c r="V53" i="52" s="1"/>
  <c r="AR52" i="53"/>
  <c r="BE52" i="52"/>
  <c r="BB53" i="52" s="1"/>
  <c r="BD53" i="52" s="1"/>
  <c r="AI52" i="52"/>
  <c r="AF53" i="52" s="1"/>
  <c r="AH53" i="52" s="1"/>
  <c r="BA51" i="49"/>
  <c r="BC51" i="49" s="1"/>
  <c r="AE51" i="49"/>
  <c r="AG51" i="49" s="1"/>
  <c r="BE51" i="53"/>
  <c r="BB52" i="53" s="1"/>
  <c r="BD52" i="53" s="1"/>
  <c r="BE52" i="53" s="1"/>
  <c r="BB53" i="53" s="1"/>
  <c r="AS52" i="53"/>
  <c r="AD59" i="53"/>
  <c r="T56" i="53"/>
  <c r="AA56" i="53"/>
  <c r="AK56" i="53" s="1"/>
  <c r="AV56" i="53" s="1"/>
  <c r="B57" i="53"/>
  <c r="Q54" i="53"/>
  <c r="I55" i="53"/>
  <c r="AB54" i="53"/>
  <c r="AL54" i="53" s="1"/>
  <c r="AM54" i="53"/>
  <c r="C55" i="53"/>
  <c r="F54" i="53"/>
  <c r="E54" i="53"/>
  <c r="G54" i="53" s="1"/>
  <c r="AC54" i="53"/>
  <c r="J54" i="53"/>
  <c r="R54" i="53" s="1"/>
  <c r="S54" i="53" s="1"/>
  <c r="AH52" i="53"/>
  <c r="AI52" i="53" s="1"/>
  <c r="AF53" i="53" s="1"/>
  <c r="AE53" i="53"/>
  <c r="AG53" i="53" s="1"/>
  <c r="BA53" i="53"/>
  <c r="BC53" i="53" s="1"/>
  <c r="AP53" i="53"/>
  <c r="AN53" i="53"/>
  <c r="AO53" i="53"/>
  <c r="X51" i="53"/>
  <c r="Y51" i="53" s="1"/>
  <c r="V52" i="53" s="1"/>
  <c r="L53" i="53"/>
  <c r="M53" i="53" s="1"/>
  <c r="U53" i="53" s="1"/>
  <c r="W53" i="53" s="1"/>
  <c r="K53" i="53"/>
  <c r="AW53" i="53"/>
  <c r="N53" i="53"/>
  <c r="AD55" i="52"/>
  <c r="F55" i="52"/>
  <c r="AC55" i="52"/>
  <c r="AB55" i="52"/>
  <c r="AL55" i="52" s="1"/>
  <c r="C56" i="52"/>
  <c r="AM55" i="52"/>
  <c r="J55" i="52"/>
  <c r="R55" i="52" s="1"/>
  <c r="S55" i="52" s="1"/>
  <c r="E55" i="52"/>
  <c r="Q55" i="52"/>
  <c r="I56" i="52"/>
  <c r="BA53" i="52"/>
  <c r="BC53" i="52" s="1"/>
  <c r="AP53" i="52"/>
  <c r="AR53" i="52" s="1"/>
  <c r="AE53" i="52"/>
  <c r="AG53" i="52" s="1"/>
  <c r="T57" i="52"/>
  <c r="AN54" i="52"/>
  <c r="AO54" i="52"/>
  <c r="M53" i="52"/>
  <c r="U53" i="52" s="1"/>
  <c r="W53" i="52" s="1"/>
  <c r="AA56" i="52"/>
  <c r="AK56" i="52" s="1"/>
  <c r="AV56" i="52" s="1"/>
  <c r="B57" i="52"/>
  <c r="X53" i="52"/>
  <c r="AS52" i="52"/>
  <c r="AT52" i="52"/>
  <c r="AQ53" i="52" s="1"/>
  <c r="N53" i="52"/>
  <c r="O53" i="52" s="1"/>
  <c r="L54" i="52"/>
  <c r="K54" i="52"/>
  <c r="AW54" i="52"/>
  <c r="G54" i="52"/>
  <c r="N54" i="52" s="1"/>
  <c r="G53" i="50"/>
  <c r="AS52" i="50"/>
  <c r="BD52" i="50"/>
  <c r="BE52" i="50" s="1"/>
  <c r="BB53" i="50" s="1"/>
  <c r="Q59" i="50"/>
  <c r="I60" i="50"/>
  <c r="T55" i="50"/>
  <c r="AM54" i="50"/>
  <c r="F54" i="50"/>
  <c r="E54" i="50"/>
  <c r="AB54" i="50"/>
  <c r="AL54" i="50" s="1"/>
  <c r="C55" i="50"/>
  <c r="J54" i="50"/>
  <c r="R54" i="50" s="1"/>
  <c r="S54" i="50" s="1"/>
  <c r="AC54" i="50"/>
  <c r="AO53" i="50"/>
  <c r="AN53" i="50"/>
  <c r="AH52" i="50"/>
  <c r="AI52" i="50" s="1"/>
  <c r="AF53" i="50" s="1"/>
  <c r="AD57" i="50"/>
  <c r="L53" i="50"/>
  <c r="AW53" i="50"/>
  <c r="K53" i="50"/>
  <c r="AR52" i="50"/>
  <c r="X51" i="50"/>
  <c r="Y51" i="50" s="1"/>
  <c r="V52" i="50" s="1"/>
  <c r="O52" i="50"/>
  <c r="AA55" i="50"/>
  <c r="AK55" i="50" s="1"/>
  <c r="AV55" i="50" s="1"/>
  <c r="B56" i="50"/>
  <c r="BE50" i="49"/>
  <c r="BB51" i="49" s="1"/>
  <c r="BD51" i="49" s="1"/>
  <c r="AT50" i="49"/>
  <c r="AQ51" i="49" s="1"/>
  <c r="AS51" i="49" s="1"/>
  <c r="G52" i="49"/>
  <c r="AE52" i="49" s="1"/>
  <c r="AG52" i="49" s="1"/>
  <c r="AR51" i="49"/>
  <c r="AH51" i="49"/>
  <c r="AI51" i="49"/>
  <c r="AF52" i="49" s="1"/>
  <c r="Q54" i="49"/>
  <c r="I55" i="49"/>
  <c r="AW52" i="49"/>
  <c r="L52" i="49"/>
  <c r="K52" i="49"/>
  <c r="AA55" i="49"/>
  <c r="AK55" i="49" s="1"/>
  <c r="AV55" i="49" s="1"/>
  <c r="B56" i="49"/>
  <c r="AM53" i="49"/>
  <c r="AB53" i="49"/>
  <c r="AL53" i="49" s="1"/>
  <c r="C54" i="49"/>
  <c r="J53" i="49"/>
  <c r="R53" i="49" s="1"/>
  <c r="S53" i="49" s="1"/>
  <c r="F53" i="49"/>
  <c r="E53" i="49"/>
  <c r="G53" i="49" s="1"/>
  <c r="AC53" i="49"/>
  <c r="T60" i="49"/>
  <c r="AD56" i="49"/>
  <c r="AO52" i="49"/>
  <c r="AN52" i="49"/>
  <c r="X50" i="49"/>
  <c r="Y50" i="49" s="1"/>
  <c r="V51" i="49" s="1"/>
  <c r="O54" i="52" l="1"/>
  <c r="O53" i="53"/>
  <c r="G54" i="50"/>
  <c r="G55" i="52"/>
  <c r="AT52" i="53"/>
  <c r="AQ53" i="53" s="1"/>
  <c r="M53" i="50"/>
  <c r="U53" i="50" s="1"/>
  <c r="W53" i="50" s="1"/>
  <c r="Y53" i="52"/>
  <c r="V54" i="52" s="1"/>
  <c r="X54" i="52" s="1"/>
  <c r="BE53" i="52"/>
  <c r="BB54" i="52" s="1"/>
  <c r="AI53" i="52"/>
  <c r="AF54" i="52" s="1"/>
  <c r="AH53" i="53"/>
  <c r="AI53" i="53" s="1"/>
  <c r="AF54" i="53" s="1"/>
  <c r="X52" i="53"/>
  <c r="Y52" i="53"/>
  <c r="V53" i="53" s="1"/>
  <c r="BD53" i="53"/>
  <c r="BE53" i="53" s="1"/>
  <c r="BB54" i="53" s="1"/>
  <c r="BA54" i="53"/>
  <c r="BC54" i="53" s="1"/>
  <c r="AP54" i="53"/>
  <c r="AE54" i="53"/>
  <c r="AG54" i="53" s="1"/>
  <c r="AM55" i="53"/>
  <c r="J55" i="53"/>
  <c r="R55" i="53" s="1"/>
  <c r="S55" i="53" s="1"/>
  <c r="AC55" i="53"/>
  <c r="AB55" i="53"/>
  <c r="AL55" i="53" s="1"/>
  <c r="E55" i="53"/>
  <c r="C56" i="53"/>
  <c r="F55" i="53"/>
  <c r="L54" i="53"/>
  <c r="M54" i="53" s="1"/>
  <c r="U54" i="53" s="1"/>
  <c r="W54" i="53" s="1"/>
  <c r="K54" i="53"/>
  <c r="AW54" i="53"/>
  <c r="N54" i="53"/>
  <c r="O54" i="53" s="1"/>
  <c r="AO54" i="53"/>
  <c r="AN54" i="53"/>
  <c r="AA57" i="53"/>
  <c r="AK57" i="53" s="1"/>
  <c r="AV57" i="53" s="1"/>
  <c r="B58" i="53"/>
  <c r="T57" i="53"/>
  <c r="AR53" i="53"/>
  <c r="AS53" i="53"/>
  <c r="Q55" i="53"/>
  <c r="I56" i="53"/>
  <c r="AD60" i="53"/>
  <c r="AH54" i="52"/>
  <c r="BD54" i="52"/>
  <c r="T58" i="52"/>
  <c r="M54" i="52"/>
  <c r="U54" i="52" s="1"/>
  <c r="W54" i="52" s="1"/>
  <c r="AO55" i="52"/>
  <c r="AN55" i="52"/>
  <c r="L55" i="52"/>
  <c r="M55" i="52" s="1"/>
  <c r="U55" i="52" s="1"/>
  <c r="W55" i="52" s="1"/>
  <c r="K55" i="52"/>
  <c r="AW55" i="52"/>
  <c r="N55" i="52"/>
  <c r="O55" i="52" s="1"/>
  <c r="B58" i="52"/>
  <c r="AA57" i="52"/>
  <c r="AK57" i="52" s="1"/>
  <c r="AV57" i="52" s="1"/>
  <c r="AP54" i="52"/>
  <c r="AR54" i="52" s="1"/>
  <c r="BA54" i="52"/>
  <c r="BC54" i="52" s="1"/>
  <c r="AE54" i="52"/>
  <c r="AG54" i="52" s="1"/>
  <c r="Q56" i="52"/>
  <c r="I57" i="52"/>
  <c r="AE55" i="52"/>
  <c r="AG55" i="52" s="1"/>
  <c r="AP55" i="52"/>
  <c r="BA55" i="52"/>
  <c r="BC55" i="52" s="1"/>
  <c r="C57" i="52"/>
  <c r="J56" i="52"/>
  <c r="R56" i="52" s="1"/>
  <c r="S56" i="52" s="1"/>
  <c r="F56" i="52"/>
  <c r="E56" i="52"/>
  <c r="AC56" i="52"/>
  <c r="AB56" i="52"/>
  <c r="AL56" i="52" s="1"/>
  <c r="AM56" i="52"/>
  <c r="AS53" i="52"/>
  <c r="AT53" i="52" s="1"/>
  <c r="AQ54" i="52" s="1"/>
  <c r="AD56" i="52"/>
  <c r="AE53" i="50"/>
  <c r="AG53" i="50" s="1"/>
  <c r="AP53" i="50"/>
  <c r="AR53" i="50" s="1"/>
  <c r="BA53" i="50"/>
  <c r="BC53" i="50" s="1"/>
  <c r="AT52" i="50"/>
  <c r="AQ53" i="50" s="1"/>
  <c r="AS53" i="50" s="1"/>
  <c r="N53" i="50"/>
  <c r="O53" i="50" s="1"/>
  <c r="AH53" i="50"/>
  <c r="X52" i="50"/>
  <c r="Y52" i="50" s="1"/>
  <c r="V53" i="50" s="1"/>
  <c r="L54" i="50"/>
  <c r="M54" i="50" s="1"/>
  <c r="U54" i="50" s="1"/>
  <c r="W54" i="50" s="1"/>
  <c r="AW54" i="50"/>
  <c r="K54" i="50"/>
  <c r="N54" i="50"/>
  <c r="I61" i="50"/>
  <c r="Q60" i="50"/>
  <c r="AA56" i="50"/>
  <c r="AK56" i="50" s="1"/>
  <c r="AV56" i="50" s="1"/>
  <c r="B57" i="50"/>
  <c r="AM55" i="50"/>
  <c r="AC55" i="50"/>
  <c r="AB55" i="50"/>
  <c r="AL55" i="50" s="1"/>
  <c r="J55" i="50"/>
  <c r="R55" i="50" s="1"/>
  <c r="S55" i="50" s="1"/>
  <c r="F55" i="50"/>
  <c r="E55" i="50"/>
  <c r="C56" i="50"/>
  <c r="BA54" i="50"/>
  <c r="BC54" i="50" s="1"/>
  <c r="AP54" i="50"/>
  <c r="AE54" i="50"/>
  <c r="AG54" i="50" s="1"/>
  <c r="AO54" i="50"/>
  <c r="AN54" i="50"/>
  <c r="T56" i="50"/>
  <c r="BD53" i="50"/>
  <c r="AD58" i="50"/>
  <c r="BE51" i="49"/>
  <c r="BB52" i="49" s="1"/>
  <c r="BD52" i="49" s="1"/>
  <c r="N52" i="49"/>
  <c r="O52" i="49" s="1"/>
  <c r="M52" i="49"/>
  <c r="U52" i="49" s="1"/>
  <c r="W52" i="49" s="1"/>
  <c r="BA52" i="49"/>
  <c r="BC52" i="49" s="1"/>
  <c r="AT51" i="49"/>
  <c r="AQ52" i="49" s="1"/>
  <c r="AS52" i="49" s="1"/>
  <c r="AP52" i="49"/>
  <c r="AR52" i="49" s="1"/>
  <c r="X51" i="49"/>
  <c r="Y51" i="49" s="1"/>
  <c r="V52" i="49" s="1"/>
  <c r="AD57" i="49"/>
  <c r="I56" i="49"/>
  <c r="Q55" i="49"/>
  <c r="AH52" i="49"/>
  <c r="AI52" i="49" s="1"/>
  <c r="AF53" i="49" s="1"/>
  <c r="T61" i="49"/>
  <c r="BA53" i="49"/>
  <c r="BC53" i="49" s="1"/>
  <c r="AE53" i="49"/>
  <c r="AG53" i="49" s="1"/>
  <c r="AP53" i="49"/>
  <c r="F54" i="49"/>
  <c r="J54" i="49"/>
  <c r="R54" i="49" s="1"/>
  <c r="S54" i="49" s="1"/>
  <c r="E54" i="49"/>
  <c r="G54" i="49" s="1"/>
  <c r="C55" i="49"/>
  <c r="AM54" i="49"/>
  <c r="AC54" i="49"/>
  <c r="AB54" i="49"/>
  <c r="AL54" i="49" s="1"/>
  <c r="K53" i="49"/>
  <c r="AW53" i="49"/>
  <c r="L53" i="49"/>
  <c r="M53" i="49" s="1"/>
  <c r="U53" i="49" s="1"/>
  <c r="W53" i="49" s="1"/>
  <c r="N53" i="49"/>
  <c r="AN53" i="49"/>
  <c r="AO53" i="49"/>
  <c r="B57" i="49"/>
  <c r="AA56" i="49"/>
  <c r="AK56" i="49" s="1"/>
  <c r="AV56" i="49" s="1"/>
  <c r="AT53" i="53" l="1"/>
  <c r="AQ54" i="53" s="1"/>
  <c r="G56" i="52"/>
  <c r="O54" i="50"/>
  <c r="AR55" i="52"/>
  <c r="O53" i="49"/>
  <c r="AR54" i="50"/>
  <c r="Y54" i="52"/>
  <c r="V55" i="52" s="1"/>
  <c r="X55" i="52" s="1"/>
  <c r="Y55" i="52" s="1"/>
  <c r="V56" i="52" s="1"/>
  <c r="AI53" i="50"/>
  <c r="AF54" i="50" s="1"/>
  <c r="AH54" i="50" s="1"/>
  <c r="AI54" i="50" s="1"/>
  <c r="AF55" i="50" s="1"/>
  <c r="BE52" i="49"/>
  <c r="BB53" i="49" s="1"/>
  <c r="BD53" i="49" s="1"/>
  <c r="BE53" i="49" s="1"/>
  <c r="BB54" i="49" s="1"/>
  <c r="BD54" i="53"/>
  <c r="BE54" i="53" s="1"/>
  <c r="BB55" i="53" s="1"/>
  <c r="L55" i="53"/>
  <c r="K55" i="53"/>
  <c r="AW55" i="53"/>
  <c r="Q56" i="53"/>
  <c r="I57" i="53"/>
  <c r="AS54" i="53"/>
  <c r="T58" i="53"/>
  <c r="B59" i="53"/>
  <c r="AA58" i="53"/>
  <c r="AK58" i="53" s="1"/>
  <c r="AV58" i="53" s="1"/>
  <c r="X53" i="53"/>
  <c r="Y53" i="53" s="1"/>
  <c r="V54" i="53" s="1"/>
  <c r="AR54" i="53"/>
  <c r="AH54" i="53"/>
  <c r="AI54" i="53" s="1"/>
  <c r="AF55" i="53" s="1"/>
  <c r="F56" i="53"/>
  <c r="AC56" i="53"/>
  <c r="E56" i="53"/>
  <c r="J56" i="53"/>
  <c r="R56" i="53" s="1"/>
  <c r="S56" i="53" s="1"/>
  <c r="AB56" i="53"/>
  <c r="AL56" i="53" s="1"/>
  <c r="AM56" i="53"/>
  <c r="C57" i="53"/>
  <c r="AD61" i="53"/>
  <c r="G55" i="53"/>
  <c r="AO55" i="53"/>
  <c r="AN55" i="53"/>
  <c r="AI54" i="52"/>
  <c r="AF55" i="52" s="1"/>
  <c r="BE54" i="52"/>
  <c r="BB55" i="52" s="1"/>
  <c r="BD55" i="52"/>
  <c r="BE55" i="52" s="1"/>
  <c r="BB56" i="52" s="1"/>
  <c r="AS54" i="52"/>
  <c r="AT54" i="52"/>
  <c r="AQ55" i="52" s="1"/>
  <c r="AO56" i="52"/>
  <c r="AN56" i="52"/>
  <c r="AW56" i="52"/>
  <c r="K56" i="52"/>
  <c r="L56" i="52"/>
  <c r="M56" i="52" s="1"/>
  <c r="U56" i="52" s="1"/>
  <c r="W56" i="52" s="1"/>
  <c r="N56" i="52"/>
  <c r="AP56" i="52"/>
  <c r="BA56" i="52"/>
  <c r="BC56" i="52" s="1"/>
  <c r="AE56" i="52"/>
  <c r="AG56" i="52" s="1"/>
  <c r="T59" i="52"/>
  <c r="AD57" i="52"/>
  <c r="AA58" i="52"/>
  <c r="AK58" i="52" s="1"/>
  <c r="AV58" i="52" s="1"/>
  <c r="B59" i="52"/>
  <c r="AB57" i="52"/>
  <c r="AL57" i="52" s="1"/>
  <c r="AM57" i="52"/>
  <c r="J57" i="52"/>
  <c r="R57" i="52" s="1"/>
  <c r="S57" i="52" s="1"/>
  <c r="F57" i="52"/>
  <c r="E57" i="52"/>
  <c r="G57" i="52" s="1"/>
  <c r="C58" i="52"/>
  <c r="AC57" i="52"/>
  <c r="Q57" i="52"/>
  <c r="I58" i="52"/>
  <c r="AH55" i="52"/>
  <c r="AT53" i="50"/>
  <c r="AQ54" i="50" s="1"/>
  <c r="AS54" i="50" s="1"/>
  <c r="BE53" i="50"/>
  <c r="BB54" i="50" s="1"/>
  <c r="BD54" i="50" s="1"/>
  <c r="G55" i="50"/>
  <c r="BA55" i="50" s="1"/>
  <c r="BC55" i="50" s="1"/>
  <c r="X53" i="50"/>
  <c r="Y53" i="50" s="1"/>
  <c r="V54" i="50" s="1"/>
  <c r="AD59" i="50"/>
  <c r="L55" i="50"/>
  <c r="AW55" i="50"/>
  <c r="K55" i="50"/>
  <c r="AO55" i="50"/>
  <c r="AN55" i="50"/>
  <c r="AA57" i="50"/>
  <c r="AK57" i="50" s="1"/>
  <c r="AV57" i="50" s="1"/>
  <c r="B58" i="50"/>
  <c r="I62" i="50"/>
  <c r="Q61" i="50"/>
  <c r="T57" i="50"/>
  <c r="AC56" i="50"/>
  <c r="E56" i="50"/>
  <c r="AB56" i="50"/>
  <c r="AL56" i="50" s="1"/>
  <c r="F56" i="50"/>
  <c r="AM56" i="50"/>
  <c r="J56" i="50"/>
  <c r="R56" i="50" s="1"/>
  <c r="S56" i="50" s="1"/>
  <c r="C57" i="50"/>
  <c r="AT52" i="49"/>
  <c r="AQ53" i="49" s="1"/>
  <c r="AS53" i="49" s="1"/>
  <c r="AH53" i="49"/>
  <c r="AI53" i="49" s="1"/>
  <c r="AF54" i="49" s="1"/>
  <c r="X52" i="49"/>
  <c r="Y52" i="49" s="1"/>
  <c r="V53" i="49" s="1"/>
  <c r="AE54" i="49"/>
  <c r="AG54" i="49" s="1"/>
  <c r="AP54" i="49"/>
  <c r="BA54" i="49"/>
  <c r="BC54" i="49" s="1"/>
  <c r="AA57" i="49"/>
  <c r="AK57" i="49" s="1"/>
  <c r="AV57" i="49" s="1"/>
  <c r="B58" i="49"/>
  <c r="T62" i="49"/>
  <c r="AR53" i="49"/>
  <c r="Q56" i="49"/>
  <c r="I57" i="49"/>
  <c r="AD58" i="49"/>
  <c r="K54" i="49"/>
  <c r="AW54" i="49"/>
  <c r="L54" i="49"/>
  <c r="M54" i="49" s="1"/>
  <c r="U54" i="49" s="1"/>
  <c r="W54" i="49" s="1"/>
  <c r="N54" i="49"/>
  <c r="AO54" i="49"/>
  <c r="AN54" i="49"/>
  <c r="AM55" i="49"/>
  <c r="F55" i="49"/>
  <c r="J55" i="49"/>
  <c r="R55" i="49" s="1"/>
  <c r="S55" i="49" s="1"/>
  <c r="E55" i="49"/>
  <c r="G55" i="49" s="1"/>
  <c r="AC55" i="49"/>
  <c r="AB55" i="49"/>
  <c r="AL55" i="49" s="1"/>
  <c r="C56" i="49"/>
  <c r="AT54" i="53" l="1"/>
  <c r="AQ55" i="53" s="1"/>
  <c r="AI55" i="52"/>
  <c r="AF56" i="52" s="1"/>
  <c r="AR54" i="49"/>
  <c r="G56" i="53"/>
  <c r="O56" i="52"/>
  <c r="BE54" i="50"/>
  <c r="BB55" i="50" s="1"/>
  <c r="AH55" i="53"/>
  <c r="AS55" i="53"/>
  <c r="X54" i="53"/>
  <c r="Y54" i="53" s="1"/>
  <c r="V55" i="53" s="1"/>
  <c r="AA59" i="53"/>
  <c r="AK59" i="53" s="1"/>
  <c r="AV59" i="53" s="1"/>
  <c r="B60" i="53"/>
  <c r="AE55" i="53"/>
  <c r="AG55" i="53" s="1"/>
  <c r="BA55" i="53"/>
  <c r="BC55" i="53" s="1"/>
  <c r="AP55" i="53"/>
  <c r="AR55" i="53" s="1"/>
  <c r="T59" i="53"/>
  <c r="N55" i="53"/>
  <c r="O55" i="53" s="1"/>
  <c r="BA56" i="53"/>
  <c r="BC56" i="53" s="1"/>
  <c r="AP56" i="53"/>
  <c r="AE56" i="53"/>
  <c r="AG56" i="53" s="1"/>
  <c r="BD55" i="53"/>
  <c r="AD62" i="53"/>
  <c r="I58" i="53"/>
  <c r="Q57" i="53"/>
  <c r="AM57" i="53"/>
  <c r="E57" i="53"/>
  <c r="AB57" i="53"/>
  <c r="AL57" i="53" s="1"/>
  <c r="C58" i="53"/>
  <c r="AC57" i="53"/>
  <c r="F57" i="53"/>
  <c r="J57" i="53"/>
  <c r="R57" i="53" s="1"/>
  <c r="S57" i="53" s="1"/>
  <c r="AO56" i="53"/>
  <c r="AN56" i="53"/>
  <c r="L56" i="53"/>
  <c r="M56" i="53"/>
  <c r="U56" i="53" s="1"/>
  <c r="W56" i="53" s="1"/>
  <c r="AW56" i="53"/>
  <c r="K56" i="53"/>
  <c r="N56" i="53"/>
  <c r="O56" i="53" s="1"/>
  <c r="M55" i="53"/>
  <c r="U55" i="53" s="1"/>
  <c r="W55" i="53" s="1"/>
  <c r="X56" i="52"/>
  <c r="Y56" i="52" s="1"/>
  <c r="V57" i="52" s="1"/>
  <c r="BD56" i="52"/>
  <c r="BE56" i="52" s="1"/>
  <c r="BB57" i="52" s="1"/>
  <c r="AD58" i="52"/>
  <c r="AH56" i="52"/>
  <c r="AI56" i="52" s="1"/>
  <c r="AF57" i="52" s="1"/>
  <c r="Q58" i="52"/>
  <c r="I59" i="52"/>
  <c r="AM58" i="52"/>
  <c r="C59" i="52"/>
  <c r="J58" i="52"/>
  <c r="R58" i="52" s="1"/>
  <c r="S58" i="52" s="1"/>
  <c r="F58" i="52"/>
  <c r="E58" i="52"/>
  <c r="G58" i="52" s="1"/>
  <c r="AC58" i="52"/>
  <c r="AB58" i="52"/>
  <c r="AL58" i="52" s="1"/>
  <c r="BA57" i="52"/>
  <c r="BC57" i="52" s="1"/>
  <c r="AP57" i="52"/>
  <c r="AE57" i="52"/>
  <c r="AG57" i="52" s="1"/>
  <c r="AR56" i="52"/>
  <c r="AO57" i="52"/>
  <c r="AN57" i="52"/>
  <c r="B60" i="52"/>
  <c r="AA59" i="52"/>
  <c r="AK59" i="52" s="1"/>
  <c r="AV59" i="52" s="1"/>
  <c r="T60" i="52"/>
  <c r="AS55" i="52"/>
  <c r="AT55" i="52" s="1"/>
  <c r="AQ56" i="52" s="1"/>
  <c r="L57" i="52"/>
  <c r="M57" i="52" s="1"/>
  <c r="U57" i="52" s="1"/>
  <c r="W57" i="52" s="1"/>
  <c r="K57" i="52"/>
  <c r="AW57" i="52"/>
  <c r="N57" i="52"/>
  <c r="N55" i="50"/>
  <c r="O55" i="50" s="1"/>
  <c r="M55" i="50"/>
  <c r="U55" i="50" s="1"/>
  <c r="W55" i="50" s="1"/>
  <c r="AP55" i="50"/>
  <c r="AR55" i="50" s="1"/>
  <c r="AE55" i="50"/>
  <c r="AG55" i="50" s="1"/>
  <c r="AT54" i="50"/>
  <c r="AQ55" i="50" s="1"/>
  <c r="AS55" i="50" s="1"/>
  <c r="AH55" i="50"/>
  <c r="X54" i="50"/>
  <c r="Y54" i="50" s="1"/>
  <c r="V55" i="50" s="1"/>
  <c r="AC57" i="50"/>
  <c r="C58" i="50"/>
  <c r="AB57" i="50"/>
  <c r="AL57" i="50" s="1"/>
  <c r="J57" i="50"/>
  <c r="R57" i="50" s="1"/>
  <c r="S57" i="50" s="1"/>
  <c r="F57" i="50"/>
  <c r="E57" i="50"/>
  <c r="AM57" i="50"/>
  <c r="AN56" i="50"/>
  <c r="AO56" i="50"/>
  <c r="AW56" i="50"/>
  <c r="L56" i="50"/>
  <c r="K56" i="50"/>
  <c r="G56" i="50"/>
  <c r="N56" i="50" s="1"/>
  <c r="O56" i="50" s="1"/>
  <c r="AD60" i="50"/>
  <c r="T58" i="50"/>
  <c r="Q62" i="50"/>
  <c r="I63" i="50"/>
  <c r="AA58" i="50"/>
  <c r="AK58" i="50" s="1"/>
  <c r="AV58" i="50" s="1"/>
  <c r="B59" i="50"/>
  <c r="BD55" i="50"/>
  <c r="BE55" i="50" s="1"/>
  <c r="BB56" i="50" s="1"/>
  <c r="AT53" i="49"/>
  <c r="AQ54" i="49" s="1"/>
  <c r="AS54" i="49" s="1"/>
  <c r="AT54" i="49" s="1"/>
  <c r="AQ55" i="49" s="1"/>
  <c r="X53" i="49"/>
  <c r="Y53" i="49" s="1"/>
  <c r="V54" i="49" s="1"/>
  <c r="AH54" i="49"/>
  <c r="AI54" i="49" s="1"/>
  <c r="AF55" i="49" s="1"/>
  <c r="AD59" i="49"/>
  <c r="Q57" i="49"/>
  <c r="I58" i="49"/>
  <c r="C57" i="49"/>
  <c r="F56" i="49"/>
  <c r="E56" i="49"/>
  <c r="AM56" i="49"/>
  <c r="AC56" i="49"/>
  <c r="J56" i="49"/>
  <c r="R56" i="49" s="1"/>
  <c r="S56" i="49" s="1"/>
  <c r="AB56" i="49"/>
  <c r="AL56" i="49" s="1"/>
  <c r="T63" i="49"/>
  <c r="AA58" i="49"/>
  <c r="AK58" i="49" s="1"/>
  <c r="AV58" i="49" s="1"/>
  <c r="B59" i="49"/>
  <c r="AN55" i="49"/>
  <c r="AO55" i="49"/>
  <c r="K55" i="49"/>
  <c r="AW55" i="49"/>
  <c r="L55" i="49"/>
  <c r="M55" i="49" s="1"/>
  <c r="U55" i="49" s="1"/>
  <c r="W55" i="49" s="1"/>
  <c r="N55" i="49"/>
  <c r="O55" i="49" s="1"/>
  <c r="BA55" i="49"/>
  <c r="BC55" i="49" s="1"/>
  <c r="AE55" i="49"/>
  <c r="AG55" i="49" s="1"/>
  <c r="AP55" i="49"/>
  <c r="BD54" i="49"/>
  <c r="BE54" i="49" s="1"/>
  <c r="BB55" i="49" s="1"/>
  <c r="O54" i="49"/>
  <c r="AI55" i="50" l="1"/>
  <c r="AF56" i="50" s="1"/>
  <c r="O57" i="52"/>
  <c r="G56" i="49"/>
  <c r="AT55" i="53"/>
  <c r="AQ56" i="53" s="1"/>
  <c r="AS56" i="53" s="1"/>
  <c r="AI55" i="53"/>
  <c r="AF56" i="53" s="1"/>
  <c r="AH56" i="53" s="1"/>
  <c r="BE55" i="53"/>
  <c r="BB56" i="53" s="1"/>
  <c r="BD56" i="53" s="1"/>
  <c r="BE56" i="53" s="1"/>
  <c r="BB57" i="53" s="1"/>
  <c r="AR56" i="53"/>
  <c r="T60" i="53"/>
  <c r="C59" i="53"/>
  <c r="J58" i="53"/>
  <c r="R58" i="53" s="1"/>
  <c r="S58" i="53" s="1"/>
  <c r="AC58" i="53"/>
  <c r="F58" i="53"/>
  <c r="E58" i="53"/>
  <c r="AM58" i="53"/>
  <c r="AB58" i="53"/>
  <c r="AL58" i="53" s="1"/>
  <c r="AA60" i="53"/>
  <c r="AK60" i="53" s="1"/>
  <c r="AV60" i="53" s="1"/>
  <c r="B61" i="53"/>
  <c r="L57" i="53"/>
  <c r="K57" i="53"/>
  <c r="AW57" i="53"/>
  <c r="G57" i="53"/>
  <c r="X55" i="53"/>
  <c r="Y55" i="53" s="1"/>
  <c r="V56" i="53" s="1"/>
  <c r="AN57" i="53"/>
  <c r="AO57" i="53"/>
  <c r="I59" i="53"/>
  <c r="Q58" i="53"/>
  <c r="AD63" i="53"/>
  <c r="BD57" i="52"/>
  <c r="BE57" i="52" s="1"/>
  <c r="BB58" i="52" s="1"/>
  <c r="X57" i="52"/>
  <c r="Y57" i="52" s="1"/>
  <c r="V58" i="52" s="1"/>
  <c r="L58" i="52"/>
  <c r="M58" i="52" s="1"/>
  <c r="U58" i="52" s="1"/>
  <c r="W58" i="52" s="1"/>
  <c r="K58" i="52"/>
  <c r="AW58" i="52"/>
  <c r="N58" i="52"/>
  <c r="O58" i="52" s="1"/>
  <c r="F59" i="52"/>
  <c r="AM59" i="52"/>
  <c r="J59" i="52"/>
  <c r="R59" i="52" s="1"/>
  <c r="S59" i="52" s="1"/>
  <c r="AC59" i="52"/>
  <c r="AB59" i="52"/>
  <c r="AL59" i="52" s="1"/>
  <c r="C60" i="52"/>
  <c r="E59" i="52"/>
  <c r="G59" i="52" s="1"/>
  <c r="AS56" i="52"/>
  <c r="AT56" i="52" s="1"/>
  <c r="AQ57" i="52" s="1"/>
  <c r="T61" i="52"/>
  <c r="AA60" i="52"/>
  <c r="AK60" i="52" s="1"/>
  <c r="AV60" i="52" s="1"/>
  <c r="B61" i="52"/>
  <c r="BA58" i="52"/>
  <c r="BC58" i="52" s="1"/>
  <c r="AP58" i="52"/>
  <c r="AE58" i="52"/>
  <c r="AO58" i="52"/>
  <c r="AN58" i="52"/>
  <c r="Q59" i="52"/>
  <c r="I60" i="52"/>
  <c r="AH57" i="52"/>
  <c r="AI57" i="52"/>
  <c r="AF58" i="52" s="1"/>
  <c r="AD59" i="52"/>
  <c r="AG58" i="52"/>
  <c r="AR57" i="52"/>
  <c r="G57" i="50"/>
  <c r="AE57" i="50" s="1"/>
  <c r="AG57" i="50" s="1"/>
  <c r="AT55" i="50"/>
  <c r="AQ56" i="50" s="1"/>
  <c r="AS56" i="50"/>
  <c r="BD56" i="50"/>
  <c r="X55" i="50"/>
  <c r="Y55" i="50" s="1"/>
  <c r="V56" i="50" s="1"/>
  <c r="BA56" i="50"/>
  <c r="BC56" i="50" s="1"/>
  <c r="AE56" i="50"/>
  <c r="AG56" i="50" s="1"/>
  <c r="AP56" i="50"/>
  <c r="M56" i="50"/>
  <c r="U56" i="50" s="1"/>
  <c r="W56" i="50" s="1"/>
  <c r="AR56" i="50"/>
  <c r="AN57" i="50"/>
  <c r="AO57" i="50"/>
  <c r="B60" i="50"/>
  <c r="AA59" i="50"/>
  <c r="AK59" i="50" s="1"/>
  <c r="AV59" i="50" s="1"/>
  <c r="Q63" i="50"/>
  <c r="I64" i="50"/>
  <c r="L57" i="50"/>
  <c r="K57" i="50"/>
  <c r="AW57" i="50"/>
  <c r="J58" i="50"/>
  <c r="R58" i="50" s="1"/>
  <c r="S58" i="50" s="1"/>
  <c r="F58" i="50"/>
  <c r="E58" i="50"/>
  <c r="G58" i="50" s="1"/>
  <c r="AM58" i="50"/>
  <c r="C59" i="50"/>
  <c r="AB58" i="50"/>
  <c r="AL58" i="50" s="1"/>
  <c r="AC58" i="50"/>
  <c r="T59" i="50"/>
  <c r="AH56" i="50"/>
  <c r="AD61" i="50"/>
  <c r="AH55" i="49"/>
  <c r="AI55" i="49" s="1"/>
  <c r="AF56" i="49" s="1"/>
  <c r="X54" i="49"/>
  <c r="Y54" i="49" s="1"/>
  <c r="V55" i="49" s="1"/>
  <c r="AS55" i="49"/>
  <c r="T64" i="49"/>
  <c r="L56" i="49"/>
  <c r="M56" i="49" s="1"/>
  <c r="U56" i="49" s="1"/>
  <c r="W56" i="49" s="1"/>
  <c r="K56" i="49"/>
  <c r="AW56" i="49"/>
  <c r="N56" i="49"/>
  <c r="O56" i="49" s="1"/>
  <c r="AN56" i="49"/>
  <c r="AO56" i="49"/>
  <c r="BD55" i="49"/>
  <c r="BE55" i="49" s="1"/>
  <c r="BB56" i="49" s="1"/>
  <c r="BA56" i="49"/>
  <c r="BC56" i="49" s="1"/>
  <c r="AP56" i="49"/>
  <c r="AE56" i="49"/>
  <c r="AG56" i="49" s="1"/>
  <c r="AB57" i="49"/>
  <c r="AL57" i="49" s="1"/>
  <c r="F57" i="49"/>
  <c r="C58" i="49"/>
  <c r="E57" i="49"/>
  <c r="AM57" i="49"/>
  <c r="J57" i="49"/>
  <c r="R57" i="49" s="1"/>
  <c r="S57" i="49" s="1"/>
  <c r="AC57" i="49"/>
  <c r="I59" i="49"/>
  <c r="Q58" i="49"/>
  <c r="AD60" i="49"/>
  <c r="AR55" i="49"/>
  <c r="AT55" i="49" s="1"/>
  <c r="AQ56" i="49" s="1"/>
  <c r="B60" i="49"/>
  <c r="AA59" i="49"/>
  <c r="AK59" i="49" s="1"/>
  <c r="AV59" i="49" s="1"/>
  <c r="M57" i="53" l="1"/>
  <c r="U57" i="53" s="1"/>
  <c r="W57" i="53" s="1"/>
  <c r="N57" i="50"/>
  <c r="O57" i="50" s="1"/>
  <c r="G57" i="49"/>
  <c r="M57" i="50"/>
  <c r="U57" i="50" s="1"/>
  <c r="W57" i="50" s="1"/>
  <c r="AI56" i="50"/>
  <c r="AF57" i="50" s="1"/>
  <c r="AH57" i="50" s="1"/>
  <c r="AI57" i="50" s="1"/>
  <c r="AF58" i="50" s="1"/>
  <c r="G58" i="53"/>
  <c r="AI56" i="53"/>
  <c r="AF57" i="53" s="1"/>
  <c r="AH57" i="53" s="1"/>
  <c r="AT56" i="53"/>
  <c r="AQ57" i="53" s="1"/>
  <c r="AS57" i="53" s="1"/>
  <c r="X56" i="53"/>
  <c r="Y56" i="53" s="1"/>
  <c r="V57" i="53" s="1"/>
  <c r="BD57" i="53"/>
  <c r="AO58" i="53"/>
  <c r="AN58" i="53"/>
  <c r="L58" i="53"/>
  <c r="K58" i="53"/>
  <c r="AW58" i="53"/>
  <c r="B62" i="53"/>
  <c r="AA61" i="53"/>
  <c r="AK61" i="53" s="1"/>
  <c r="AV61" i="53" s="1"/>
  <c r="AD64" i="53"/>
  <c r="C60" i="53"/>
  <c r="F59" i="53"/>
  <c r="E59" i="53"/>
  <c r="AM59" i="53"/>
  <c r="AB59" i="53"/>
  <c r="AL59" i="53" s="1"/>
  <c r="J59" i="53"/>
  <c r="R59" i="53" s="1"/>
  <c r="S59" i="53" s="1"/>
  <c r="AC59" i="53"/>
  <c r="Q59" i="53"/>
  <c r="I60" i="53"/>
  <c r="T61" i="53"/>
  <c r="AP57" i="53"/>
  <c r="AR57" i="53" s="1"/>
  <c r="AE57" i="53"/>
  <c r="AG57" i="53" s="1"/>
  <c r="BA57" i="53"/>
  <c r="BC57" i="53" s="1"/>
  <c r="BE57" i="53" s="1"/>
  <c r="BB58" i="53" s="1"/>
  <c r="N57" i="53"/>
  <c r="O57" i="53" s="1"/>
  <c r="AR58" i="52"/>
  <c r="X58" i="52"/>
  <c r="Y58" i="52" s="1"/>
  <c r="V59" i="52" s="1"/>
  <c r="BD58" i="52"/>
  <c r="BE58" i="52" s="1"/>
  <c r="BB59" i="52" s="1"/>
  <c r="C61" i="52"/>
  <c r="J60" i="52"/>
  <c r="R60" i="52" s="1"/>
  <c r="S60" i="52" s="1"/>
  <c r="AM60" i="52"/>
  <c r="F60" i="52"/>
  <c r="E60" i="52"/>
  <c r="G60" i="52" s="1"/>
  <c r="AC60" i="52"/>
  <c r="AB60" i="52"/>
  <c r="AL60" i="52" s="1"/>
  <c r="L59" i="52"/>
  <c r="K59" i="52"/>
  <c r="M59" i="52"/>
  <c r="U59" i="52" s="1"/>
  <c r="W59" i="52" s="1"/>
  <c r="AW59" i="52"/>
  <c r="N59" i="52"/>
  <c r="O59" i="52" s="1"/>
  <c r="AD60" i="52"/>
  <c r="AH58" i="52"/>
  <c r="AI58" i="52" s="1"/>
  <c r="AF59" i="52" s="1"/>
  <c r="I61" i="52"/>
  <c r="Q60" i="52"/>
  <c r="T62" i="52"/>
  <c r="AS57" i="52"/>
  <c r="AT57" i="52" s="1"/>
  <c r="AQ58" i="52" s="1"/>
  <c r="AE59" i="52"/>
  <c r="AG59" i="52" s="1"/>
  <c r="AP59" i="52"/>
  <c r="BA59" i="52"/>
  <c r="BC59" i="52" s="1"/>
  <c r="AO59" i="52"/>
  <c r="AN59" i="52"/>
  <c r="B62" i="52"/>
  <c r="AA61" i="52"/>
  <c r="AK61" i="52" s="1"/>
  <c r="AV61" i="52" s="1"/>
  <c r="BA57" i="50"/>
  <c r="BC57" i="50" s="1"/>
  <c r="AT56" i="50"/>
  <c r="AQ57" i="50" s="1"/>
  <c r="AS57" i="50" s="1"/>
  <c r="AP57" i="50"/>
  <c r="AR57" i="50" s="1"/>
  <c r="BE56" i="50"/>
  <c r="BB57" i="50" s="1"/>
  <c r="BD57" i="50" s="1"/>
  <c r="X56" i="50"/>
  <c r="Y56" i="50" s="1"/>
  <c r="V57" i="50" s="1"/>
  <c r="AA60" i="50"/>
  <c r="AK60" i="50" s="1"/>
  <c r="AV60" i="50" s="1"/>
  <c r="B61" i="50"/>
  <c r="T60" i="50"/>
  <c r="AP58" i="50"/>
  <c r="BA58" i="50"/>
  <c r="BC58" i="50" s="1"/>
  <c r="AE58" i="50"/>
  <c r="AG58" i="50" s="1"/>
  <c r="I65" i="50"/>
  <c r="Q64" i="50"/>
  <c r="AD62" i="50"/>
  <c r="L58" i="50"/>
  <c r="M58" i="50" s="1"/>
  <c r="U58" i="50" s="1"/>
  <c r="W58" i="50" s="1"/>
  <c r="K58" i="50"/>
  <c r="AW58" i="50"/>
  <c r="N58" i="50"/>
  <c r="O58" i="50" s="1"/>
  <c r="F59" i="50"/>
  <c r="E59" i="50"/>
  <c r="AM59" i="50"/>
  <c r="AC59" i="50"/>
  <c r="AB59" i="50"/>
  <c r="AL59" i="50" s="1"/>
  <c r="J59" i="50"/>
  <c r="R59" i="50" s="1"/>
  <c r="S59" i="50" s="1"/>
  <c r="C60" i="50"/>
  <c r="AO58" i="50"/>
  <c r="AN58" i="50"/>
  <c r="AS56" i="49"/>
  <c r="AH56" i="49"/>
  <c r="AI56" i="49" s="1"/>
  <c r="AF57" i="49" s="1"/>
  <c r="AA60" i="49"/>
  <c r="AK60" i="49" s="1"/>
  <c r="AV60" i="49" s="1"/>
  <c r="B61" i="49"/>
  <c r="BD56" i="49"/>
  <c r="BE56" i="49"/>
  <c r="BB57" i="49" s="1"/>
  <c r="AR56" i="49"/>
  <c r="AD61" i="49"/>
  <c r="Q59" i="49"/>
  <c r="I60" i="49"/>
  <c r="T65" i="49"/>
  <c r="AO57" i="49"/>
  <c r="AN57" i="49"/>
  <c r="AP57" i="49"/>
  <c r="AE57" i="49"/>
  <c r="AG57" i="49" s="1"/>
  <c r="BA57" i="49"/>
  <c r="BC57" i="49" s="1"/>
  <c r="X55" i="49"/>
  <c r="Y55" i="49" s="1"/>
  <c r="V56" i="49" s="1"/>
  <c r="AC58" i="49"/>
  <c r="AB58" i="49"/>
  <c r="AL58" i="49" s="1"/>
  <c r="F58" i="49"/>
  <c r="E58" i="49"/>
  <c r="AM58" i="49"/>
  <c r="C59" i="49"/>
  <c r="J58" i="49"/>
  <c r="R58" i="49" s="1"/>
  <c r="S58" i="49" s="1"/>
  <c r="K57" i="49"/>
  <c r="AW57" i="49"/>
  <c r="L57" i="49"/>
  <c r="M57" i="49" s="1"/>
  <c r="U57" i="49" s="1"/>
  <c r="W57" i="49" s="1"/>
  <c r="N57" i="49"/>
  <c r="M58" i="53" l="1"/>
  <c r="U58" i="53" s="1"/>
  <c r="W58" i="53" s="1"/>
  <c r="AR59" i="52"/>
  <c r="BE57" i="50"/>
  <c r="BB58" i="50" s="1"/>
  <c r="BD58" i="50" s="1"/>
  <c r="BE58" i="50" s="1"/>
  <c r="BB59" i="50" s="1"/>
  <c r="AT57" i="50"/>
  <c r="AQ58" i="50" s="1"/>
  <c r="AS58" i="50" s="1"/>
  <c r="AT57" i="53"/>
  <c r="AQ58" i="53" s="1"/>
  <c r="BA58" i="53"/>
  <c r="BC58" i="53" s="1"/>
  <c r="AE58" i="53"/>
  <c r="AG58" i="53" s="1"/>
  <c r="AP58" i="53"/>
  <c r="AR58" i="53" s="1"/>
  <c r="N58" i="53"/>
  <c r="O58" i="53" s="1"/>
  <c r="AI57" i="53"/>
  <c r="AF58" i="53" s="1"/>
  <c r="BD58" i="53"/>
  <c r="AS58" i="53"/>
  <c r="X57" i="53"/>
  <c r="Y57" i="53" s="1"/>
  <c r="V58" i="53" s="1"/>
  <c r="AD65" i="53"/>
  <c r="I61" i="53"/>
  <c r="Q60" i="53"/>
  <c r="AO59" i="53"/>
  <c r="AN59" i="53"/>
  <c r="AC60" i="53"/>
  <c r="AB60" i="53"/>
  <c r="AL60" i="53" s="1"/>
  <c r="AM60" i="53"/>
  <c r="J60" i="53"/>
  <c r="R60" i="53" s="1"/>
  <c r="S60" i="53" s="1"/>
  <c r="F60" i="53"/>
  <c r="E60" i="53"/>
  <c r="G60" i="53" s="1"/>
  <c r="C61" i="53"/>
  <c r="B63" i="53"/>
  <c r="AA62" i="53"/>
  <c r="AK62" i="53" s="1"/>
  <c r="AV62" i="53" s="1"/>
  <c r="T62" i="53"/>
  <c r="L59" i="53"/>
  <c r="AW59" i="53"/>
  <c r="K59" i="53"/>
  <c r="G59" i="53"/>
  <c r="AS58" i="52"/>
  <c r="AT58" i="52" s="1"/>
  <c r="AQ59" i="52" s="1"/>
  <c r="X59" i="52"/>
  <c r="Y59" i="52" s="1"/>
  <c r="V60" i="52" s="1"/>
  <c r="AN60" i="52"/>
  <c r="AO60" i="52"/>
  <c r="AH59" i="52"/>
  <c r="AI59" i="52" s="1"/>
  <c r="AF60" i="52" s="1"/>
  <c r="AD61" i="52"/>
  <c r="AA62" i="52"/>
  <c r="AK62" i="52" s="1"/>
  <c r="AV62" i="52" s="1"/>
  <c r="B63" i="52"/>
  <c r="L60" i="52"/>
  <c r="M60" i="52" s="1"/>
  <c r="U60" i="52" s="1"/>
  <c r="W60" i="52" s="1"/>
  <c r="K60" i="52"/>
  <c r="AW60" i="52"/>
  <c r="N60" i="52"/>
  <c r="O60" i="52" s="1"/>
  <c r="AP60" i="52"/>
  <c r="BA60" i="52"/>
  <c r="BC60" i="52" s="1"/>
  <c r="AE60" i="52"/>
  <c r="AG60" i="52" s="1"/>
  <c r="AB61" i="52"/>
  <c r="AL61" i="52" s="1"/>
  <c r="AM61" i="52"/>
  <c r="J61" i="52"/>
  <c r="R61" i="52" s="1"/>
  <c r="S61" i="52" s="1"/>
  <c r="C62" i="52"/>
  <c r="E61" i="52"/>
  <c r="AC61" i="52"/>
  <c r="F61" i="52"/>
  <c r="BD59" i="52"/>
  <c r="BE59" i="52" s="1"/>
  <c r="BB60" i="52" s="1"/>
  <c r="T63" i="52"/>
  <c r="I62" i="52"/>
  <c r="Q61" i="52"/>
  <c r="AR58" i="50"/>
  <c r="G59" i="50"/>
  <c r="N59" i="50" s="1"/>
  <c r="X57" i="50"/>
  <c r="Y57" i="50" s="1"/>
  <c r="V58" i="50" s="1"/>
  <c r="T61" i="50"/>
  <c r="AD63" i="50"/>
  <c r="Q65" i="50"/>
  <c r="I66" i="50"/>
  <c r="C61" i="50"/>
  <c r="F60" i="50"/>
  <c r="AM60" i="50"/>
  <c r="E60" i="50"/>
  <c r="G60" i="50" s="1"/>
  <c r="AC60" i="50"/>
  <c r="AB60" i="50"/>
  <c r="AL60" i="50" s="1"/>
  <c r="J60" i="50"/>
  <c r="R60" i="50" s="1"/>
  <c r="S60" i="50" s="1"/>
  <c r="L59" i="50"/>
  <c r="K59" i="50"/>
  <c r="AW59" i="50"/>
  <c r="B62" i="50"/>
  <c r="AA61" i="50"/>
  <c r="AK61" i="50" s="1"/>
  <c r="AV61" i="50" s="1"/>
  <c r="AN59" i="50"/>
  <c r="AO59" i="50"/>
  <c r="AH58" i="50"/>
  <c r="AI58" i="50" s="1"/>
  <c r="AF59" i="50" s="1"/>
  <c r="AT56" i="49"/>
  <c r="AQ57" i="49" s="1"/>
  <c r="AS57" i="49" s="1"/>
  <c r="G58" i="49"/>
  <c r="N58" i="49" s="1"/>
  <c r="AH57" i="49"/>
  <c r="AI57" i="49" s="1"/>
  <c r="AF58" i="49" s="1"/>
  <c r="X56" i="49"/>
  <c r="Y56" i="49" s="1"/>
  <c r="V57" i="49" s="1"/>
  <c r="AR57" i="49"/>
  <c r="T66" i="49"/>
  <c r="O57" i="49"/>
  <c r="BD57" i="49"/>
  <c r="BE57" i="49" s="1"/>
  <c r="BB58" i="49" s="1"/>
  <c r="AO58" i="49"/>
  <c r="AN58" i="49"/>
  <c r="AW58" i="49"/>
  <c r="L58" i="49"/>
  <c r="K58" i="49"/>
  <c r="Q60" i="49"/>
  <c r="I61" i="49"/>
  <c r="AD62" i="49"/>
  <c r="J59" i="49"/>
  <c r="R59" i="49" s="1"/>
  <c r="S59" i="49" s="1"/>
  <c r="C60" i="49"/>
  <c r="AC59" i="49"/>
  <c r="AB59" i="49"/>
  <c r="AL59" i="49" s="1"/>
  <c r="F59" i="49"/>
  <c r="E59" i="49"/>
  <c r="AM59" i="49"/>
  <c r="AA61" i="49"/>
  <c r="AK61" i="49" s="1"/>
  <c r="AV61" i="49" s="1"/>
  <c r="B62" i="49"/>
  <c r="AT58" i="53" l="1"/>
  <c r="AQ59" i="53" s="1"/>
  <c r="AT58" i="50"/>
  <c r="AQ59" i="50" s="1"/>
  <c r="O58" i="49"/>
  <c r="O59" i="50"/>
  <c r="BE58" i="53"/>
  <c r="BB59" i="53" s="1"/>
  <c r="M59" i="50"/>
  <c r="U59" i="50" s="1"/>
  <c r="W59" i="50" s="1"/>
  <c r="AH58" i="53"/>
  <c r="AI58" i="53" s="1"/>
  <c r="AF59" i="53" s="1"/>
  <c r="AH59" i="53" s="1"/>
  <c r="X58" i="53"/>
  <c r="Y58" i="53" s="1"/>
  <c r="V59" i="53" s="1"/>
  <c r="BA60" i="53"/>
  <c r="BC60" i="53" s="1"/>
  <c r="AP60" i="53"/>
  <c r="AE60" i="53"/>
  <c r="AG60" i="53" s="1"/>
  <c r="AO60" i="53"/>
  <c r="AN60" i="53"/>
  <c r="AR60" i="53" s="1"/>
  <c r="AE59" i="53"/>
  <c r="AG59" i="53" s="1"/>
  <c r="AP59" i="53"/>
  <c r="AR59" i="53" s="1"/>
  <c r="BA59" i="53"/>
  <c r="BC59" i="53" s="1"/>
  <c r="Q61" i="53"/>
  <c r="I62" i="53"/>
  <c r="N59" i="53"/>
  <c r="O59" i="53" s="1"/>
  <c r="C62" i="53"/>
  <c r="AB61" i="53"/>
  <c r="AL61" i="53" s="1"/>
  <c r="J61" i="53"/>
  <c r="R61" i="53" s="1"/>
  <c r="S61" i="53" s="1"/>
  <c r="F61" i="53"/>
  <c r="E61" i="53"/>
  <c r="AC61" i="53"/>
  <c r="AM61" i="53"/>
  <c r="K60" i="53"/>
  <c r="L60" i="53"/>
  <c r="M60" i="53" s="1"/>
  <c r="U60" i="53" s="1"/>
  <c r="W60" i="53" s="1"/>
  <c r="AW60" i="53"/>
  <c r="N60" i="53"/>
  <c r="M59" i="53"/>
  <c r="U59" i="53" s="1"/>
  <c r="W59" i="53" s="1"/>
  <c r="AD66" i="53"/>
  <c r="T63" i="53"/>
  <c r="AS59" i="53"/>
  <c r="AA63" i="53"/>
  <c r="AK63" i="53" s="1"/>
  <c r="AV63" i="53" s="1"/>
  <c r="B64" i="53"/>
  <c r="BD59" i="53"/>
  <c r="BD60" i="52"/>
  <c r="BE60" i="52" s="1"/>
  <c r="BB61" i="52" s="1"/>
  <c r="X60" i="52"/>
  <c r="Y60" i="52" s="1"/>
  <c r="V61" i="52" s="1"/>
  <c r="B64" i="52"/>
  <c r="AA63" i="52"/>
  <c r="AK63" i="52" s="1"/>
  <c r="AV63" i="52" s="1"/>
  <c r="AD62" i="52"/>
  <c r="AH60" i="52"/>
  <c r="AI60" i="52"/>
  <c r="AF61" i="52" s="1"/>
  <c r="I63" i="52"/>
  <c r="Q62" i="52"/>
  <c r="T64" i="52"/>
  <c r="G61" i="52"/>
  <c r="AR60" i="52"/>
  <c r="J62" i="52"/>
  <c r="R62" i="52" s="1"/>
  <c r="S62" i="52" s="1"/>
  <c r="AM62" i="52"/>
  <c r="AB62" i="52"/>
  <c r="AL62" i="52" s="1"/>
  <c r="AC62" i="52"/>
  <c r="F62" i="52"/>
  <c r="E62" i="52"/>
  <c r="C63" i="52"/>
  <c r="AN61" i="52"/>
  <c r="AO61" i="52"/>
  <c r="AS59" i="52"/>
  <c r="AT59" i="52" s="1"/>
  <c r="AQ60" i="52" s="1"/>
  <c r="L61" i="52"/>
  <c r="K61" i="52"/>
  <c r="AW61" i="52"/>
  <c r="AP59" i="50"/>
  <c r="AR59" i="50" s="1"/>
  <c r="BA59" i="50"/>
  <c r="BC59" i="50" s="1"/>
  <c r="AE59" i="50"/>
  <c r="AG59" i="50" s="1"/>
  <c r="AH59" i="50"/>
  <c r="BD59" i="50"/>
  <c r="X58" i="50"/>
  <c r="Y58" i="50" s="1"/>
  <c r="V59" i="50" s="1"/>
  <c r="Q66" i="50"/>
  <c r="I67" i="50"/>
  <c r="AP60" i="50"/>
  <c r="AE60" i="50"/>
  <c r="AG60" i="50" s="1"/>
  <c r="BA60" i="50"/>
  <c r="BC60" i="50" s="1"/>
  <c r="AO60" i="50"/>
  <c r="AN60" i="50"/>
  <c r="AM61" i="50"/>
  <c r="J61" i="50"/>
  <c r="R61" i="50" s="1"/>
  <c r="S61" i="50" s="1"/>
  <c r="C62" i="50"/>
  <c r="F61" i="50"/>
  <c r="E61" i="50"/>
  <c r="AC61" i="50"/>
  <c r="AB61" i="50"/>
  <c r="AL61" i="50" s="1"/>
  <c r="AD64" i="50"/>
  <c r="AA62" i="50"/>
  <c r="AK62" i="50" s="1"/>
  <c r="AV62" i="50" s="1"/>
  <c r="B63" i="50"/>
  <c r="T62" i="50"/>
  <c r="AS59" i="50"/>
  <c r="L60" i="50"/>
  <c r="K60" i="50"/>
  <c r="AW60" i="50"/>
  <c r="M60" i="50"/>
  <c r="U60" i="50" s="1"/>
  <c r="W60" i="50" s="1"/>
  <c r="N60" i="50"/>
  <c r="O60" i="50" s="1"/>
  <c r="M58" i="49"/>
  <c r="U58" i="49" s="1"/>
  <c r="W58" i="49" s="1"/>
  <c r="AE58" i="49"/>
  <c r="AG58" i="49" s="1"/>
  <c r="BA58" i="49"/>
  <c r="BC58" i="49" s="1"/>
  <c r="AP58" i="49"/>
  <c r="AR58" i="49" s="1"/>
  <c r="AT57" i="49"/>
  <c r="AQ58" i="49" s="1"/>
  <c r="G59" i="49"/>
  <c r="AP59" i="49" s="1"/>
  <c r="AS58" i="49"/>
  <c r="X57" i="49"/>
  <c r="Y57" i="49" s="1"/>
  <c r="V58" i="49" s="1"/>
  <c r="AH58" i="49"/>
  <c r="AA62" i="49"/>
  <c r="AK62" i="49" s="1"/>
  <c r="AV62" i="49" s="1"/>
  <c r="B63" i="49"/>
  <c r="BD58" i="49"/>
  <c r="T67" i="49"/>
  <c r="K59" i="49"/>
  <c r="AW59" i="49"/>
  <c r="L59" i="49"/>
  <c r="AC60" i="49"/>
  <c r="AB60" i="49"/>
  <c r="AL60" i="49" s="1"/>
  <c r="C61" i="49"/>
  <c r="AM60" i="49"/>
  <c r="J60" i="49"/>
  <c r="R60" i="49" s="1"/>
  <c r="S60" i="49" s="1"/>
  <c r="F60" i="49"/>
  <c r="E60" i="49"/>
  <c r="G60" i="49" s="1"/>
  <c r="AD63" i="49"/>
  <c r="AO59" i="49"/>
  <c r="AN59" i="49"/>
  <c r="Q61" i="49"/>
  <c r="I62" i="49"/>
  <c r="AR60" i="50" l="1"/>
  <c r="G62" i="52"/>
  <c r="AT59" i="50"/>
  <c r="AQ60" i="50" s="1"/>
  <c r="AI59" i="50"/>
  <c r="AF60" i="50" s="1"/>
  <c r="N59" i="49"/>
  <c r="O59" i="49" s="1"/>
  <c r="M59" i="49"/>
  <c r="U59" i="49" s="1"/>
  <c r="W59" i="49" s="1"/>
  <c r="BA59" i="49"/>
  <c r="BC59" i="49" s="1"/>
  <c r="AE59" i="49"/>
  <c r="AG59" i="49" s="1"/>
  <c r="BE58" i="49"/>
  <c r="BB59" i="49" s="1"/>
  <c r="BE59" i="53"/>
  <c r="BB60" i="53" s="1"/>
  <c r="BD60" i="53" s="1"/>
  <c r="BE60" i="53" s="1"/>
  <c r="BB61" i="53" s="1"/>
  <c r="AT59" i="53"/>
  <c r="AQ60" i="53" s="1"/>
  <c r="AS60" i="53" s="1"/>
  <c r="AI59" i="53"/>
  <c r="AF60" i="53" s="1"/>
  <c r="AH60" i="53" s="1"/>
  <c r="AI60" i="53" s="1"/>
  <c r="AF61" i="53" s="1"/>
  <c r="O60" i="53"/>
  <c r="X59" i="53"/>
  <c r="Y59" i="53" s="1"/>
  <c r="V60" i="53" s="1"/>
  <c r="L61" i="53"/>
  <c r="AW61" i="53"/>
  <c r="K61" i="53"/>
  <c r="N61" i="53"/>
  <c r="O61" i="53" s="1"/>
  <c r="AA64" i="53"/>
  <c r="AK64" i="53" s="1"/>
  <c r="AV64" i="53" s="1"/>
  <c r="B65" i="53"/>
  <c r="J62" i="53"/>
  <c r="R62" i="53" s="1"/>
  <c r="S62" i="53" s="1"/>
  <c r="E62" i="53"/>
  <c r="F62" i="53"/>
  <c r="AC62" i="53"/>
  <c r="C63" i="53"/>
  <c r="AM62" i="53"/>
  <c r="AB62" i="53"/>
  <c r="AL62" i="53" s="1"/>
  <c r="Q62" i="53"/>
  <c r="I63" i="53"/>
  <c r="T64" i="53"/>
  <c r="AD67" i="53"/>
  <c r="AO61" i="53"/>
  <c r="AN61" i="53"/>
  <c r="G61" i="53"/>
  <c r="AS60" i="52"/>
  <c r="AT60" i="52" s="1"/>
  <c r="AQ61" i="52" s="1"/>
  <c r="BD61" i="52"/>
  <c r="AW62" i="52"/>
  <c r="L62" i="52"/>
  <c r="M62" i="52" s="1"/>
  <c r="U62" i="52" s="1"/>
  <c r="W62" i="52" s="1"/>
  <c r="K62" i="52"/>
  <c r="N62" i="52"/>
  <c r="BA61" i="52"/>
  <c r="BC61" i="52" s="1"/>
  <c r="AP61" i="52"/>
  <c r="AR61" i="52" s="1"/>
  <c r="AE61" i="52"/>
  <c r="AG61" i="52" s="1"/>
  <c r="M61" i="52"/>
  <c r="U61" i="52" s="1"/>
  <c r="W61" i="52" s="1"/>
  <c r="AO62" i="52"/>
  <c r="AN62" i="52"/>
  <c r="T65" i="52"/>
  <c r="N61" i="52"/>
  <c r="O61" i="52" s="1"/>
  <c r="Q63" i="52"/>
  <c r="I64" i="52"/>
  <c r="AH61" i="52"/>
  <c r="AD63" i="52"/>
  <c r="AA64" i="52"/>
  <c r="AK64" i="52" s="1"/>
  <c r="AV64" i="52" s="1"/>
  <c r="B65" i="52"/>
  <c r="X61" i="52"/>
  <c r="F63" i="52"/>
  <c r="E63" i="52"/>
  <c r="G63" i="52" s="1"/>
  <c r="AB63" i="52"/>
  <c r="AL63" i="52" s="1"/>
  <c r="AC63" i="52"/>
  <c r="C64" i="52"/>
  <c r="AM63" i="52"/>
  <c r="J63" i="52"/>
  <c r="R63" i="52" s="1"/>
  <c r="S63" i="52" s="1"/>
  <c r="BA62" i="52"/>
  <c r="BC62" i="52" s="1"/>
  <c r="AE62" i="52"/>
  <c r="AG62" i="52" s="1"/>
  <c r="AP62" i="52"/>
  <c r="G61" i="50"/>
  <c r="BE59" i="50"/>
  <c r="BB60" i="50" s="1"/>
  <c r="BD60" i="50" s="1"/>
  <c r="BE60" i="50" s="1"/>
  <c r="BB61" i="50" s="1"/>
  <c r="AN61" i="50"/>
  <c r="AO61" i="50"/>
  <c r="L61" i="50"/>
  <c r="K61" i="50"/>
  <c r="AW61" i="50"/>
  <c r="AM62" i="50"/>
  <c r="J62" i="50"/>
  <c r="R62" i="50" s="1"/>
  <c r="S62" i="50" s="1"/>
  <c r="E62" i="50"/>
  <c r="F62" i="50"/>
  <c r="AB62" i="50"/>
  <c r="AL62" i="50" s="1"/>
  <c r="C63" i="50"/>
  <c r="AC62" i="50"/>
  <c r="AS60" i="50"/>
  <c r="AT60" i="50" s="1"/>
  <c r="AQ61" i="50" s="1"/>
  <c r="I68" i="50"/>
  <c r="Q67" i="50"/>
  <c r="T63" i="50"/>
  <c r="X59" i="50"/>
  <c r="Y59" i="50"/>
  <c r="V60" i="50" s="1"/>
  <c r="B64" i="50"/>
  <c r="AA63" i="50"/>
  <c r="AK63" i="50" s="1"/>
  <c r="AV63" i="50" s="1"/>
  <c r="AD65" i="50"/>
  <c r="AH60" i="50"/>
  <c r="AI60" i="50" s="1"/>
  <c r="AF61" i="50" s="1"/>
  <c r="AR59" i="49"/>
  <c r="AI58" i="49"/>
  <c r="AF59" i="49" s="1"/>
  <c r="AH59" i="49" s="1"/>
  <c r="AT58" i="49"/>
  <c r="AQ59" i="49" s="1"/>
  <c r="AS59" i="49" s="1"/>
  <c r="BD59" i="49"/>
  <c r="T68" i="49"/>
  <c r="Q62" i="49"/>
  <c r="I63" i="49"/>
  <c r="AD64" i="49"/>
  <c r="AA63" i="49"/>
  <c r="AK63" i="49" s="1"/>
  <c r="AV63" i="49" s="1"/>
  <c r="B64" i="49"/>
  <c r="AP60" i="49"/>
  <c r="AE60" i="49"/>
  <c r="AG60" i="49" s="1"/>
  <c r="BA60" i="49"/>
  <c r="BC60" i="49" s="1"/>
  <c r="AO60" i="49"/>
  <c r="AN60" i="49"/>
  <c r="X58" i="49"/>
  <c r="Y58" i="49" s="1"/>
  <c r="V59" i="49" s="1"/>
  <c r="AM61" i="49"/>
  <c r="AB61" i="49"/>
  <c r="AL61" i="49" s="1"/>
  <c r="F61" i="49"/>
  <c r="E61" i="49"/>
  <c r="G61" i="49" s="1"/>
  <c r="AC61" i="49"/>
  <c r="J61" i="49"/>
  <c r="R61" i="49" s="1"/>
  <c r="S61" i="49" s="1"/>
  <c r="C62" i="49"/>
  <c r="AW60" i="49"/>
  <c r="L60" i="49"/>
  <c r="M60" i="49" s="1"/>
  <c r="U60" i="49" s="1"/>
  <c r="W60" i="49" s="1"/>
  <c r="K60" i="49"/>
  <c r="N60" i="49"/>
  <c r="O60" i="49" s="1"/>
  <c r="BE59" i="49" l="1"/>
  <c r="BB60" i="49" s="1"/>
  <c r="AT59" i="49"/>
  <c r="AQ60" i="49" s="1"/>
  <c r="O62" i="52"/>
  <c r="BE61" i="52"/>
  <c r="BB62" i="52" s="1"/>
  <c r="BD62" i="52" s="1"/>
  <c r="BE62" i="52" s="1"/>
  <c r="BB63" i="52" s="1"/>
  <c r="Y61" i="52"/>
  <c r="V62" i="52" s="1"/>
  <c r="X62" i="52" s="1"/>
  <c r="Y62" i="52" s="1"/>
  <c r="V63" i="52" s="1"/>
  <c r="M61" i="50"/>
  <c r="U61" i="50" s="1"/>
  <c r="W61" i="50" s="1"/>
  <c r="AR60" i="49"/>
  <c r="M61" i="53"/>
  <c r="U61" i="53" s="1"/>
  <c r="W61" i="53" s="1"/>
  <c r="AT60" i="53"/>
  <c r="AQ61" i="53" s="1"/>
  <c r="AS61" i="53" s="1"/>
  <c r="X60" i="53"/>
  <c r="Y60" i="53" s="1"/>
  <c r="V61" i="53" s="1"/>
  <c r="AH61" i="53"/>
  <c r="BD61" i="53"/>
  <c r="AM63" i="53"/>
  <c r="E63" i="53"/>
  <c r="J63" i="53"/>
  <c r="R63" i="53" s="1"/>
  <c r="S63" i="53" s="1"/>
  <c r="AC63" i="53"/>
  <c r="AB63" i="53"/>
  <c r="AL63" i="53" s="1"/>
  <c r="F63" i="53"/>
  <c r="C64" i="53"/>
  <c r="G62" i="53"/>
  <c r="B66" i="53"/>
  <c r="AA65" i="53"/>
  <c r="AK65" i="53" s="1"/>
  <c r="AV65" i="53" s="1"/>
  <c r="AD68" i="53"/>
  <c r="T65" i="53"/>
  <c r="Q63" i="53"/>
  <c r="I64" i="53"/>
  <c r="AW62" i="53"/>
  <c r="K62" i="53"/>
  <c r="L62" i="53"/>
  <c r="AE61" i="53"/>
  <c r="AG61" i="53" s="1"/>
  <c r="BA61" i="53"/>
  <c r="BC61" i="53" s="1"/>
  <c r="AP61" i="53"/>
  <c r="AR61" i="53" s="1"/>
  <c r="AO62" i="53"/>
  <c r="AN62" i="53"/>
  <c r="AI61" i="52"/>
  <c r="AF62" i="52" s="1"/>
  <c r="AH62" i="52" s="1"/>
  <c r="AI62" i="52" s="1"/>
  <c r="AF63" i="52" s="1"/>
  <c r="I65" i="52"/>
  <c r="Q64" i="52"/>
  <c r="AR62" i="52"/>
  <c r="C65" i="52"/>
  <c r="J64" i="52"/>
  <c r="R64" i="52" s="1"/>
  <c r="S64" i="52" s="1"/>
  <c r="F64" i="52"/>
  <c r="AM64" i="52"/>
  <c r="E64" i="52"/>
  <c r="G64" i="52" s="1"/>
  <c r="AB64" i="52"/>
  <c r="AL64" i="52" s="1"/>
  <c r="AC64" i="52"/>
  <c r="L63" i="52"/>
  <c r="K63" i="52"/>
  <c r="M63" i="52"/>
  <c r="U63" i="52" s="1"/>
  <c r="W63" i="52" s="1"/>
  <c r="AW63" i="52"/>
  <c r="N63" i="52"/>
  <c r="T66" i="52"/>
  <c r="AO63" i="52"/>
  <c r="AN63" i="52"/>
  <c r="AE63" i="52"/>
  <c r="BA63" i="52"/>
  <c r="BC63" i="52" s="1"/>
  <c r="AP63" i="52"/>
  <c r="AA65" i="52"/>
  <c r="AK65" i="52" s="1"/>
  <c r="AV65" i="52" s="1"/>
  <c r="B66" i="52"/>
  <c r="AG63" i="52"/>
  <c r="AD64" i="52"/>
  <c r="AS61" i="52"/>
  <c r="AT61" i="52" s="1"/>
  <c r="AQ62" i="52" s="1"/>
  <c r="AE61" i="50"/>
  <c r="AG61" i="50" s="1"/>
  <c r="BA61" i="50"/>
  <c r="BC61" i="50" s="1"/>
  <c r="AP61" i="50"/>
  <c r="AR61" i="50" s="1"/>
  <c r="N61" i="50"/>
  <c r="O61" i="50" s="1"/>
  <c r="AS61" i="50"/>
  <c r="AH61" i="50"/>
  <c r="BD61" i="50"/>
  <c r="F63" i="50"/>
  <c r="E63" i="50"/>
  <c r="G63" i="50" s="1"/>
  <c r="AM63" i="50"/>
  <c r="J63" i="50"/>
  <c r="R63" i="50" s="1"/>
  <c r="S63" i="50" s="1"/>
  <c r="C64" i="50"/>
  <c r="AC63" i="50"/>
  <c r="AB63" i="50"/>
  <c r="AL63" i="50" s="1"/>
  <c r="AO62" i="50"/>
  <c r="AN62" i="50"/>
  <c r="AD66" i="50"/>
  <c r="AA64" i="50"/>
  <c r="AK64" i="50" s="1"/>
  <c r="AV64" i="50" s="1"/>
  <c r="B65" i="50"/>
  <c r="L62" i="50"/>
  <c r="AW62" i="50"/>
  <c r="K62" i="50"/>
  <c r="G62" i="50"/>
  <c r="N62" i="50" s="1"/>
  <c r="O62" i="50" s="1"/>
  <c r="X60" i="50"/>
  <c r="Y60" i="50" s="1"/>
  <c r="V61" i="50" s="1"/>
  <c r="T64" i="50"/>
  <c r="Q68" i="50"/>
  <c r="I69" i="50"/>
  <c r="AI59" i="49"/>
  <c r="AF60" i="49" s="1"/>
  <c r="AH60" i="49" s="1"/>
  <c r="AI60" i="49" s="1"/>
  <c r="AF61" i="49" s="1"/>
  <c r="AS60" i="49"/>
  <c r="AT60" i="49" s="1"/>
  <c r="AQ61" i="49" s="1"/>
  <c r="AD65" i="49"/>
  <c r="X59" i="49"/>
  <c r="Y59" i="49" s="1"/>
  <c r="V60" i="49" s="1"/>
  <c r="B65" i="49"/>
  <c r="AA64" i="49"/>
  <c r="AK64" i="49" s="1"/>
  <c r="AV64" i="49" s="1"/>
  <c r="Q63" i="49"/>
  <c r="I64" i="49"/>
  <c r="F62" i="49"/>
  <c r="C63" i="49"/>
  <c r="AM62" i="49"/>
  <c r="J62" i="49"/>
  <c r="R62" i="49" s="1"/>
  <c r="S62" i="49" s="1"/>
  <c r="AC62" i="49"/>
  <c r="E62" i="49"/>
  <c r="AB62" i="49"/>
  <c r="AL62" i="49" s="1"/>
  <c r="T69" i="49"/>
  <c r="AP61" i="49"/>
  <c r="BA61" i="49"/>
  <c r="BC61" i="49" s="1"/>
  <c r="AE61" i="49"/>
  <c r="AG61" i="49" s="1"/>
  <c r="K61" i="49"/>
  <c r="AW61" i="49"/>
  <c r="L61" i="49"/>
  <c r="M61" i="49" s="1"/>
  <c r="U61" i="49" s="1"/>
  <c r="W61" i="49" s="1"/>
  <c r="N61" i="49"/>
  <c r="AN61" i="49"/>
  <c r="AO61" i="49"/>
  <c r="BD60" i="49"/>
  <c r="BE60" i="49" s="1"/>
  <c r="BB61" i="49" s="1"/>
  <c r="M62" i="50" l="1"/>
  <c r="U62" i="50" s="1"/>
  <c r="W62" i="50" s="1"/>
  <c r="G62" i="49"/>
  <c r="AT61" i="50"/>
  <c r="AQ62" i="50" s="1"/>
  <c r="AS62" i="50" s="1"/>
  <c r="AI61" i="50"/>
  <c r="AF62" i="50" s="1"/>
  <c r="AT61" i="53"/>
  <c r="AQ62" i="53" s="1"/>
  <c r="AS62" i="53" s="1"/>
  <c r="BE61" i="53"/>
  <c r="BB62" i="53" s="1"/>
  <c r="BD62" i="53" s="1"/>
  <c r="AI61" i="53"/>
  <c r="AF62" i="53" s="1"/>
  <c r="AH62" i="53" s="1"/>
  <c r="X61" i="53"/>
  <c r="Y61" i="53" s="1"/>
  <c r="V62" i="53" s="1"/>
  <c r="T66" i="53"/>
  <c r="AD69" i="53"/>
  <c r="AA66" i="53"/>
  <c r="AK66" i="53" s="1"/>
  <c r="AV66" i="53" s="1"/>
  <c r="B67" i="53"/>
  <c r="BA62" i="53"/>
  <c r="BC62" i="53" s="1"/>
  <c r="AE62" i="53"/>
  <c r="AG62" i="53" s="1"/>
  <c r="AP62" i="53"/>
  <c r="AR62" i="53" s="1"/>
  <c r="F64" i="53"/>
  <c r="AC64" i="53"/>
  <c r="E64" i="53"/>
  <c r="AM64" i="53"/>
  <c r="C65" i="53"/>
  <c r="AB64" i="53"/>
  <c r="AL64" i="53" s="1"/>
  <c r="J64" i="53"/>
  <c r="R64" i="53" s="1"/>
  <c r="S64" i="53" s="1"/>
  <c r="L63" i="53"/>
  <c r="AW63" i="53"/>
  <c r="K63" i="53"/>
  <c r="G63" i="53"/>
  <c r="N63" i="53" s="1"/>
  <c r="O63" i="53" s="1"/>
  <c r="N62" i="53"/>
  <c r="O62" i="53" s="1"/>
  <c r="AN63" i="53"/>
  <c r="AO63" i="53"/>
  <c r="M62" i="53"/>
  <c r="U62" i="53" s="1"/>
  <c r="W62" i="53" s="1"/>
  <c r="I65" i="53"/>
  <c r="Q64" i="53"/>
  <c r="AS62" i="52"/>
  <c r="AT62" i="52" s="1"/>
  <c r="AQ63" i="52" s="1"/>
  <c r="BD63" i="52"/>
  <c r="BE63" i="52" s="1"/>
  <c r="BB64" i="52" s="1"/>
  <c r="AH63" i="52"/>
  <c r="AI63" i="52"/>
  <c r="AF64" i="52" s="1"/>
  <c r="X63" i="52"/>
  <c r="Y63" i="52" s="1"/>
  <c r="V64" i="52" s="1"/>
  <c r="AP64" i="52"/>
  <c r="BA64" i="52"/>
  <c r="BC64" i="52" s="1"/>
  <c r="AE64" i="52"/>
  <c r="AG64" i="52" s="1"/>
  <c r="AN64" i="52"/>
  <c r="AO64" i="52"/>
  <c r="AD65" i="52"/>
  <c r="B67" i="52"/>
  <c r="AA66" i="52"/>
  <c r="AK66" i="52" s="1"/>
  <c r="AV66" i="52" s="1"/>
  <c r="Q65" i="52"/>
  <c r="I66" i="52"/>
  <c r="T67" i="52"/>
  <c r="L64" i="52"/>
  <c r="M64" i="52" s="1"/>
  <c r="U64" i="52" s="1"/>
  <c r="W64" i="52" s="1"/>
  <c r="K64" i="52"/>
  <c r="AW64" i="52"/>
  <c r="N64" i="52"/>
  <c r="AB65" i="52"/>
  <c r="AL65" i="52" s="1"/>
  <c r="F65" i="52"/>
  <c r="E65" i="52"/>
  <c r="G65" i="52" s="1"/>
  <c r="AC65" i="52"/>
  <c r="AM65" i="52"/>
  <c r="J65" i="52"/>
  <c r="R65" i="52" s="1"/>
  <c r="S65" i="52" s="1"/>
  <c r="C66" i="52"/>
  <c r="AR63" i="52"/>
  <c r="O63" i="52"/>
  <c r="BE61" i="50"/>
  <c r="BB62" i="50" s="1"/>
  <c r="BD62" i="50"/>
  <c r="X61" i="50"/>
  <c r="Y61" i="50" s="1"/>
  <c r="V62" i="50" s="1"/>
  <c r="AE63" i="50"/>
  <c r="AG63" i="50" s="1"/>
  <c r="BA63" i="50"/>
  <c r="BC63" i="50" s="1"/>
  <c r="AP63" i="50"/>
  <c r="AA65" i="50"/>
  <c r="AK65" i="50" s="1"/>
  <c r="AV65" i="50" s="1"/>
  <c r="B66" i="50"/>
  <c r="AD67" i="50"/>
  <c r="L63" i="50"/>
  <c r="M63" i="50" s="1"/>
  <c r="U63" i="50" s="1"/>
  <c r="W63" i="50" s="1"/>
  <c r="K63" i="50"/>
  <c r="AW63" i="50"/>
  <c r="N63" i="50"/>
  <c r="O63" i="50" s="1"/>
  <c r="Q69" i="50"/>
  <c r="I70" i="50"/>
  <c r="J64" i="50"/>
  <c r="R64" i="50" s="1"/>
  <c r="S64" i="50" s="1"/>
  <c r="AM64" i="50"/>
  <c r="F64" i="50"/>
  <c r="E64" i="50"/>
  <c r="AB64" i="50"/>
  <c r="AL64" i="50" s="1"/>
  <c r="AC64" i="50"/>
  <c r="C65" i="50"/>
  <c r="T65" i="50"/>
  <c r="AN63" i="50"/>
  <c r="AO63" i="50"/>
  <c r="AP62" i="50"/>
  <c r="AR62" i="50" s="1"/>
  <c r="BA62" i="50"/>
  <c r="BC62" i="50" s="1"/>
  <c r="AE62" i="50"/>
  <c r="AG62" i="50" s="1"/>
  <c r="AH62" i="50"/>
  <c r="O61" i="49"/>
  <c r="BD61" i="49"/>
  <c r="BE61" i="49" s="1"/>
  <c r="BB62" i="49" s="1"/>
  <c r="X60" i="49"/>
  <c r="Y60" i="49" s="1"/>
  <c r="V61" i="49" s="1"/>
  <c r="AS61" i="49"/>
  <c r="AH61" i="49"/>
  <c r="AI61" i="49" s="1"/>
  <c r="AF62" i="49" s="1"/>
  <c r="AE62" i="49"/>
  <c r="AG62" i="49" s="1"/>
  <c r="AP62" i="49"/>
  <c r="BA62" i="49"/>
  <c r="BC62" i="49" s="1"/>
  <c r="AN62" i="49"/>
  <c r="AO62" i="49"/>
  <c r="AA65" i="49"/>
  <c r="AK65" i="49" s="1"/>
  <c r="AV65" i="49" s="1"/>
  <c r="B66" i="49"/>
  <c r="T70" i="49"/>
  <c r="L62" i="49"/>
  <c r="M62" i="49" s="1"/>
  <c r="U62" i="49" s="1"/>
  <c r="W62" i="49" s="1"/>
  <c r="AW62" i="49"/>
  <c r="K62" i="49"/>
  <c r="N62" i="49"/>
  <c r="E63" i="49"/>
  <c r="AM63" i="49"/>
  <c r="AB63" i="49"/>
  <c r="AL63" i="49" s="1"/>
  <c r="J63" i="49"/>
  <c r="R63" i="49" s="1"/>
  <c r="S63" i="49" s="1"/>
  <c r="F63" i="49"/>
  <c r="C64" i="49"/>
  <c r="AC63" i="49"/>
  <c r="AR61" i="49"/>
  <c r="Q64" i="49"/>
  <c r="I65" i="49"/>
  <c r="AD66" i="49"/>
  <c r="AT61" i="49" l="1"/>
  <c r="AQ62" i="49" s="1"/>
  <c r="AI62" i="53"/>
  <c r="AF63" i="53" s="1"/>
  <c r="AI62" i="50"/>
  <c r="AF63" i="50" s="1"/>
  <c r="G64" i="50"/>
  <c r="BE62" i="53"/>
  <c r="BB63" i="53" s="1"/>
  <c r="BD63" i="53" s="1"/>
  <c r="AT62" i="53"/>
  <c r="AQ63" i="53" s="1"/>
  <c r="AS63" i="53" s="1"/>
  <c r="AH63" i="53"/>
  <c r="Q65" i="53"/>
  <c r="I66" i="53"/>
  <c r="B68" i="53"/>
  <c r="AA67" i="53"/>
  <c r="AK67" i="53" s="1"/>
  <c r="AV67" i="53" s="1"/>
  <c r="X62" i="53"/>
  <c r="Y62" i="53"/>
  <c r="V63" i="53" s="1"/>
  <c r="L64" i="53"/>
  <c r="K64" i="53"/>
  <c r="AW64" i="53"/>
  <c r="N64" i="53"/>
  <c r="O64" i="53" s="1"/>
  <c r="J65" i="53"/>
  <c r="R65" i="53" s="1"/>
  <c r="S65" i="53" s="1"/>
  <c r="AM65" i="53"/>
  <c r="E65" i="53"/>
  <c r="F65" i="53"/>
  <c r="C66" i="53"/>
  <c r="AB65" i="53"/>
  <c r="AL65" i="53" s="1"/>
  <c r="AC65" i="53"/>
  <c r="AN64" i="53"/>
  <c r="AO64" i="53"/>
  <c r="AP63" i="53"/>
  <c r="AR63" i="53" s="1"/>
  <c r="BA63" i="53"/>
  <c r="BC63" i="53" s="1"/>
  <c r="AE63" i="53"/>
  <c r="AG63" i="53" s="1"/>
  <c r="AI63" i="53" s="1"/>
  <c r="AF64" i="53" s="1"/>
  <c r="AD70" i="53"/>
  <c r="T67" i="53"/>
  <c r="M63" i="53"/>
  <c r="U63" i="53" s="1"/>
  <c r="W63" i="53" s="1"/>
  <c r="G64" i="53"/>
  <c r="O64" i="52"/>
  <c r="X64" i="52"/>
  <c r="Y64" i="52" s="1"/>
  <c r="V65" i="52" s="1"/>
  <c r="BD64" i="52"/>
  <c r="BE64" i="52" s="1"/>
  <c r="BB65" i="52" s="1"/>
  <c r="AD66" i="52"/>
  <c r="F66" i="52"/>
  <c r="E66" i="52"/>
  <c r="G66" i="52" s="1"/>
  <c r="C67" i="52"/>
  <c r="AB66" i="52"/>
  <c r="AL66" i="52" s="1"/>
  <c r="AC66" i="52"/>
  <c r="J66" i="52"/>
  <c r="R66" i="52" s="1"/>
  <c r="S66" i="52" s="1"/>
  <c r="AN65" i="52"/>
  <c r="AO65" i="52"/>
  <c r="Q66" i="52"/>
  <c r="I67" i="52"/>
  <c r="AA67" i="52"/>
  <c r="AK67" i="52" s="1"/>
  <c r="AV67" i="52" s="1"/>
  <c r="B68" i="52"/>
  <c r="AR64" i="52"/>
  <c r="BA65" i="52"/>
  <c r="BC65" i="52" s="1"/>
  <c r="AE65" i="52"/>
  <c r="AG65" i="52" s="1"/>
  <c r="AP65" i="52"/>
  <c r="J12" i="52"/>
  <c r="S12" i="52" s="1"/>
  <c r="J9" i="52"/>
  <c r="S9" i="52" s="1"/>
  <c r="J15" i="52"/>
  <c r="S15" i="52" s="1"/>
  <c r="J13" i="52"/>
  <c r="S13" i="52" s="1"/>
  <c r="J11" i="52"/>
  <c r="S11" i="52" s="1"/>
  <c r="J14" i="52"/>
  <c r="S14" i="52" s="1"/>
  <c r="J7" i="52"/>
  <c r="J8" i="52"/>
  <c r="S8" i="52" s="1"/>
  <c r="J10" i="52"/>
  <c r="S10" i="52" s="1"/>
  <c r="J16" i="52"/>
  <c r="S16" i="52" s="1"/>
  <c r="L65" i="52"/>
  <c r="M65" i="52" s="1"/>
  <c r="U65" i="52" s="1"/>
  <c r="W65" i="52" s="1"/>
  <c r="K65" i="52"/>
  <c r="AW65" i="52"/>
  <c r="N65" i="52"/>
  <c r="AH64" i="52"/>
  <c r="AI64" i="52"/>
  <c r="AF65" i="52" s="1"/>
  <c r="AS63" i="52"/>
  <c r="AT63" i="52" s="1"/>
  <c r="AQ64" i="52" s="1"/>
  <c r="T68" i="52"/>
  <c r="BE62" i="50"/>
  <c r="BB63" i="50" s="1"/>
  <c r="BD63" i="50" s="1"/>
  <c r="BE63" i="50" s="1"/>
  <c r="BB64" i="50" s="1"/>
  <c r="AT62" i="50"/>
  <c r="AQ63" i="50" s="1"/>
  <c r="AS63" i="50" s="1"/>
  <c r="AH63" i="50"/>
  <c r="AI63" i="50"/>
  <c r="AF64" i="50" s="1"/>
  <c r="X62" i="50"/>
  <c r="Y62" i="50" s="1"/>
  <c r="V63" i="50" s="1"/>
  <c r="B67" i="50"/>
  <c r="AA66" i="50"/>
  <c r="AK66" i="50" s="1"/>
  <c r="AV66" i="50" s="1"/>
  <c r="AW64" i="50"/>
  <c r="L64" i="50"/>
  <c r="M64" i="50" s="1"/>
  <c r="U64" i="50" s="1"/>
  <c r="W64" i="50" s="1"/>
  <c r="K64" i="50"/>
  <c r="N64" i="50"/>
  <c r="O64" i="50" s="1"/>
  <c r="AN64" i="50"/>
  <c r="AO64" i="50"/>
  <c r="AD68" i="50"/>
  <c r="AR63" i="50"/>
  <c r="T66" i="50"/>
  <c r="E65" i="50"/>
  <c r="J65" i="50"/>
  <c r="R65" i="50" s="1"/>
  <c r="S65" i="50" s="1"/>
  <c r="AB65" i="50"/>
  <c r="AL65" i="50" s="1"/>
  <c r="AM65" i="50"/>
  <c r="AC65" i="50"/>
  <c r="F65" i="50"/>
  <c r="C66" i="50"/>
  <c r="AE64" i="50"/>
  <c r="AG64" i="50" s="1"/>
  <c r="BA64" i="50"/>
  <c r="BC64" i="50" s="1"/>
  <c r="AP64" i="50"/>
  <c r="Q70" i="50"/>
  <c r="I71" i="50"/>
  <c r="AS62" i="49"/>
  <c r="AH62" i="49"/>
  <c r="AI62" i="49" s="1"/>
  <c r="AF63" i="49" s="1"/>
  <c r="X61" i="49"/>
  <c r="Y61" i="49" s="1"/>
  <c r="V62" i="49" s="1"/>
  <c r="T71" i="49"/>
  <c r="AA66" i="49"/>
  <c r="AK66" i="49" s="1"/>
  <c r="AV66" i="49" s="1"/>
  <c r="B67" i="49"/>
  <c r="AD67" i="49"/>
  <c r="I66" i="49"/>
  <c r="Q65" i="49"/>
  <c r="AR62" i="49"/>
  <c r="C65" i="49"/>
  <c r="J64" i="49"/>
  <c r="R64" i="49" s="1"/>
  <c r="S64" i="49" s="1"/>
  <c r="F64" i="49"/>
  <c r="E64" i="49"/>
  <c r="AC64" i="49"/>
  <c r="AB64" i="49"/>
  <c r="AL64" i="49" s="1"/>
  <c r="AM64" i="49"/>
  <c r="K63" i="49"/>
  <c r="AW63" i="49"/>
  <c r="L63" i="49"/>
  <c r="AO63" i="49"/>
  <c r="AN63" i="49"/>
  <c r="G63" i="49"/>
  <c r="O62" i="49"/>
  <c r="BD62" i="49"/>
  <c r="BE62" i="49" s="1"/>
  <c r="BB63" i="49" s="1"/>
  <c r="G64" i="49" l="1"/>
  <c r="BE63" i="53"/>
  <c r="BB64" i="53" s="1"/>
  <c r="BD64" i="53" s="1"/>
  <c r="AT63" i="53"/>
  <c r="AQ64" i="53" s="1"/>
  <c r="AS64" i="53" s="1"/>
  <c r="G65" i="53"/>
  <c r="J14" i="53" s="1"/>
  <c r="S14" i="53" s="1"/>
  <c r="AH64" i="53"/>
  <c r="J15" i="53"/>
  <c r="S15" i="53" s="1"/>
  <c r="J13" i="53"/>
  <c r="S13" i="53" s="1"/>
  <c r="J16" i="53"/>
  <c r="S16" i="53" s="1"/>
  <c r="J11" i="53"/>
  <c r="S11" i="53" s="1"/>
  <c r="AO65" i="53"/>
  <c r="AN65" i="53"/>
  <c r="T68" i="53"/>
  <c r="BA64" i="53"/>
  <c r="BC64" i="53" s="1"/>
  <c r="AE64" i="53"/>
  <c r="AG64" i="53" s="1"/>
  <c r="AP64" i="53"/>
  <c r="AR64" i="53" s="1"/>
  <c r="M64" i="53"/>
  <c r="U64" i="53" s="1"/>
  <c r="W64" i="53" s="1"/>
  <c r="AA68" i="53"/>
  <c r="AK68" i="53" s="1"/>
  <c r="AV68" i="53" s="1"/>
  <c r="B69" i="53"/>
  <c r="L65" i="53"/>
  <c r="AW65" i="53"/>
  <c r="K65" i="53"/>
  <c r="F66" i="53"/>
  <c r="E66" i="53"/>
  <c r="G66" i="53" s="1"/>
  <c r="C67" i="53"/>
  <c r="AB66" i="53"/>
  <c r="AL66" i="53" s="1"/>
  <c r="J66" i="53"/>
  <c r="R66" i="53" s="1"/>
  <c r="S66" i="53" s="1"/>
  <c r="AC66" i="53"/>
  <c r="X63" i="53"/>
  <c r="Y63" i="53" s="1"/>
  <c r="V64" i="53" s="1"/>
  <c r="AD71" i="53"/>
  <c r="I67" i="53"/>
  <c r="Q66" i="53"/>
  <c r="O65" i="52"/>
  <c r="AS64" i="52"/>
  <c r="AT64" i="52" s="1"/>
  <c r="AQ65" i="52" s="1"/>
  <c r="BD65" i="52"/>
  <c r="BE65" i="52" s="1"/>
  <c r="BB66" i="52" s="1"/>
  <c r="X65" i="52"/>
  <c r="Y65" i="52" s="1"/>
  <c r="V66" i="52" s="1"/>
  <c r="AH65" i="52"/>
  <c r="AI65" i="52"/>
  <c r="AF66" i="52" s="1"/>
  <c r="AA68" i="52"/>
  <c r="AK68" i="52" s="1"/>
  <c r="AV68" i="52" s="1"/>
  <c r="B69" i="52"/>
  <c r="K13" i="52"/>
  <c r="T13" i="52" s="1"/>
  <c r="K11" i="52"/>
  <c r="T11" i="52" s="1"/>
  <c r="K14" i="52"/>
  <c r="T14" i="52" s="1"/>
  <c r="K8" i="52"/>
  <c r="T8" i="52" s="1"/>
  <c r="K16" i="52"/>
  <c r="T16" i="52" s="1"/>
  <c r="K15" i="52"/>
  <c r="T15" i="52" s="1"/>
  <c r="K7" i="52"/>
  <c r="K12" i="52"/>
  <c r="T12" i="52" s="1"/>
  <c r="K10" i="52"/>
  <c r="T10" i="52" s="1"/>
  <c r="K9" i="52"/>
  <c r="T9" i="52" s="1"/>
  <c r="J17" i="52"/>
  <c r="S7" i="52"/>
  <c r="C68" i="52"/>
  <c r="E67" i="52"/>
  <c r="F67" i="52"/>
  <c r="J67" i="52"/>
  <c r="R67" i="52" s="1"/>
  <c r="AB67" i="52"/>
  <c r="AL67" i="52" s="1"/>
  <c r="AC67" i="52"/>
  <c r="AD67" i="52"/>
  <c r="I68" i="52"/>
  <c r="Q67" i="52"/>
  <c r="AR65" i="52"/>
  <c r="AW66" i="52"/>
  <c r="L66" i="52"/>
  <c r="M66" i="52" s="1"/>
  <c r="U66" i="52" s="1"/>
  <c r="W66" i="52" s="1"/>
  <c r="K66" i="52"/>
  <c r="N66" i="52"/>
  <c r="O66" i="52" s="1"/>
  <c r="AE66" i="52"/>
  <c r="AG66" i="52" s="1"/>
  <c r="AP66" i="52"/>
  <c r="AR66" i="52" s="1"/>
  <c r="BA66" i="52"/>
  <c r="BC66" i="52" s="1"/>
  <c r="T69" i="52"/>
  <c r="AT63" i="50"/>
  <c r="AQ64" i="50" s="1"/>
  <c r="AS64" i="50"/>
  <c r="X63" i="50"/>
  <c r="Y63" i="50" s="1"/>
  <c r="V64" i="50" s="1"/>
  <c r="BD64" i="50"/>
  <c r="BE64" i="50" s="1"/>
  <c r="BB65" i="50" s="1"/>
  <c r="AD69" i="50"/>
  <c r="AR64" i="50"/>
  <c r="I72" i="50"/>
  <c r="Q71" i="50"/>
  <c r="E66" i="50"/>
  <c r="F66" i="50"/>
  <c r="C67" i="50"/>
  <c r="J66" i="50"/>
  <c r="R66" i="50" s="1"/>
  <c r="S66" i="50" s="1"/>
  <c r="AC66" i="50"/>
  <c r="AB66" i="50"/>
  <c r="AL66" i="50" s="1"/>
  <c r="B68" i="50"/>
  <c r="AA67" i="50"/>
  <c r="AK67" i="50" s="1"/>
  <c r="AV67" i="50" s="1"/>
  <c r="AO65" i="50"/>
  <c r="AN65" i="50"/>
  <c r="L65" i="50"/>
  <c r="K65" i="50"/>
  <c r="AW65" i="50"/>
  <c r="G65" i="50"/>
  <c r="T67" i="50"/>
  <c r="AH64" i="50"/>
  <c r="AI64" i="50" s="1"/>
  <c r="AF65" i="50" s="1"/>
  <c r="AT62" i="49"/>
  <c r="AQ63" i="49" s="1"/>
  <c r="AS63" i="49" s="1"/>
  <c r="AH63" i="49"/>
  <c r="AI63" i="49"/>
  <c r="AF64" i="49" s="1"/>
  <c r="AP64" i="49"/>
  <c r="BA64" i="49"/>
  <c r="BC64" i="49" s="1"/>
  <c r="AE64" i="49"/>
  <c r="AG64" i="49" s="1"/>
  <c r="AB65" i="49"/>
  <c r="AL65" i="49" s="1"/>
  <c r="AM65" i="49"/>
  <c r="E65" i="49"/>
  <c r="C66" i="49"/>
  <c r="F65" i="49"/>
  <c r="J65" i="49"/>
  <c r="R65" i="49" s="1"/>
  <c r="S65" i="49" s="1"/>
  <c r="AC65" i="49"/>
  <c r="BD63" i="49"/>
  <c r="I67" i="49"/>
  <c r="Q66" i="49"/>
  <c r="AP63" i="49"/>
  <c r="AR63" i="49" s="1"/>
  <c r="BA63" i="49"/>
  <c r="BC63" i="49" s="1"/>
  <c r="AE63" i="49"/>
  <c r="AG63" i="49" s="1"/>
  <c r="N63" i="49"/>
  <c r="O63" i="49" s="1"/>
  <c r="M63" i="49"/>
  <c r="U63" i="49" s="1"/>
  <c r="W63" i="49" s="1"/>
  <c r="AO64" i="49"/>
  <c r="AN64" i="49"/>
  <c r="AD68" i="49"/>
  <c r="B68" i="49"/>
  <c r="AA67" i="49"/>
  <c r="AK67" i="49" s="1"/>
  <c r="AV67" i="49" s="1"/>
  <c r="T72" i="49"/>
  <c r="X62" i="49"/>
  <c r="Y62" i="49" s="1"/>
  <c r="V63" i="49" s="1"/>
  <c r="L64" i="49"/>
  <c r="M64" i="49" s="1"/>
  <c r="U64" i="49" s="1"/>
  <c r="W64" i="49" s="1"/>
  <c r="AW64" i="49"/>
  <c r="K64" i="49"/>
  <c r="N64" i="49"/>
  <c r="O64" i="49" s="1"/>
  <c r="BE63" i="49" l="1"/>
  <c r="BB64" i="49" s="1"/>
  <c r="AI64" i="53"/>
  <c r="AF65" i="53" s="1"/>
  <c r="AH65" i="53" s="1"/>
  <c r="AR64" i="49"/>
  <c r="N65" i="53"/>
  <c r="O65" i="53" s="1"/>
  <c r="J7" i="53"/>
  <c r="S7" i="53" s="1"/>
  <c r="J8" i="53"/>
  <c r="S8" i="53" s="1"/>
  <c r="AE65" i="53"/>
  <c r="AG65" i="53" s="1"/>
  <c r="BA65" i="53"/>
  <c r="BC65" i="53" s="1"/>
  <c r="AP65" i="53"/>
  <c r="AR65" i="53" s="1"/>
  <c r="J10" i="53"/>
  <c r="S10" i="53" s="1"/>
  <c r="J9" i="53"/>
  <c r="S9" i="53" s="1"/>
  <c r="M65" i="53"/>
  <c r="U65" i="53" s="1"/>
  <c r="W65" i="53" s="1"/>
  <c r="J12" i="53"/>
  <c r="S12" i="53" s="1"/>
  <c r="AT64" i="53"/>
  <c r="AQ65" i="53" s="1"/>
  <c r="BE64" i="53"/>
  <c r="BB65" i="53" s="1"/>
  <c r="BD65" i="53" s="1"/>
  <c r="L66" i="53"/>
  <c r="K66" i="53"/>
  <c r="M66" i="53"/>
  <c r="U66" i="53" s="1"/>
  <c r="W66" i="53" s="1"/>
  <c r="AW66" i="53"/>
  <c r="N66" i="53"/>
  <c r="O66" i="53" s="1"/>
  <c r="C68" i="53"/>
  <c r="F67" i="53"/>
  <c r="E67" i="53"/>
  <c r="G67" i="53" s="1"/>
  <c r="J67" i="53"/>
  <c r="R67" i="53" s="1"/>
  <c r="AC67" i="53"/>
  <c r="AB67" i="53"/>
  <c r="AL67" i="53" s="1"/>
  <c r="K8" i="53"/>
  <c r="T8" i="53" s="1"/>
  <c r="K13" i="53"/>
  <c r="T13" i="53" s="1"/>
  <c r="K7" i="53"/>
  <c r="K11" i="53"/>
  <c r="T11" i="53" s="1"/>
  <c r="K16" i="53"/>
  <c r="T16" i="53" s="1"/>
  <c r="K15" i="53"/>
  <c r="T15" i="53" s="1"/>
  <c r="K9" i="53"/>
  <c r="T9" i="53" s="1"/>
  <c r="K14" i="53"/>
  <c r="T14" i="53" s="1"/>
  <c r="K10" i="53"/>
  <c r="T10" i="53" s="1"/>
  <c r="K12" i="53"/>
  <c r="T12" i="53" s="1"/>
  <c r="AA69" i="53"/>
  <c r="AK69" i="53" s="1"/>
  <c r="AV69" i="53" s="1"/>
  <c r="B70" i="53"/>
  <c r="I68" i="53"/>
  <c r="Q67" i="53"/>
  <c r="X64" i="53"/>
  <c r="Y64" i="53" s="1"/>
  <c r="V65" i="53" s="1"/>
  <c r="AE66" i="53"/>
  <c r="AG66" i="53" s="1"/>
  <c r="AP66" i="53"/>
  <c r="AR66" i="53" s="1"/>
  <c r="BA66" i="53"/>
  <c r="BC66" i="53" s="1"/>
  <c r="AD72" i="53"/>
  <c r="T69" i="53"/>
  <c r="X66" i="52"/>
  <c r="Y66" i="52" s="1"/>
  <c r="V67" i="52" s="1"/>
  <c r="BD66" i="52"/>
  <c r="BE66" i="52"/>
  <c r="BB67" i="52" s="1"/>
  <c r="AD68" i="52"/>
  <c r="AH66" i="52"/>
  <c r="AI66" i="52" s="1"/>
  <c r="AF67" i="52" s="1"/>
  <c r="T70" i="52"/>
  <c r="AS65" i="52"/>
  <c r="AT65" i="52" s="1"/>
  <c r="AQ66" i="52" s="1"/>
  <c r="K17" i="52"/>
  <c r="T7" i="52"/>
  <c r="Q68" i="52"/>
  <c r="I69" i="52"/>
  <c r="B70" i="52"/>
  <c r="AA69" i="52"/>
  <c r="AK69" i="52" s="1"/>
  <c r="AV69" i="52" s="1"/>
  <c r="L67" i="52"/>
  <c r="K67" i="52"/>
  <c r="AW67" i="52"/>
  <c r="G67" i="52"/>
  <c r="E68" i="52"/>
  <c r="F68" i="52"/>
  <c r="AC68" i="52"/>
  <c r="AB68" i="52"/>
  <c r="AL68" i="52" s="1"/>
  <c r="C69" i="52"/>
  <c r="J68" i="52"/>
  <c r="R68" i="52" s="1"/>
  <c r="S68" i="52" s="1"/>
  <c r="S17" i="52"/>
  <c r="AT64" i="50"/>
  <c r="AQ65" i="50" s="1"/>
  <c r="AS65" i="50" s="1"/>
  <c r="AH65" i="50"/>
  <c r="BD65" i="50"/>
  <c r="L66" i="50"/>
  <c r="K66" i="50"/>
  <c r="AW66" i="50"/>
  <c r="AA68" i="50"/>
  <c r="AK68" i="50" s="1"/>
  <c r="AV68" i="50" s="1"/>
  <c r="B69" i="50"/>
  <c r="AD70" i="50"/>
  <c r="C68" i="50"/>
  <c r="F67" i="50"/>
  <c r="E67" i="50"/>
  <c r="G67" i="50" s="1"/>
  <c r="AB67" i="50"/>
  <c r="AL67" i="50" s="1"/>
  <c r="J67" i="50"/>
  <c r="R67" i="50" s="1"/>
  <c r="AC67" i="50"/>
  <c r="G66" i="50"/>
  <c r="N66" i="50" s="1"/>
  <c r="I73" i="50"/>
  <c r="Q72" i="50"/>
  <c r="T68" i="50"/>
  <c r="AP65" i="50"/>
  <c r="AR65" i="50" s="1"/>
  <c r="AE65" i="50"/>
  <c r="AG65" i="50" s="1"/>
  <c r="BA65" i="50"/>
  <c r="BC65" i="50" s="1"/>
  <c r="J13" i="50"/>
  <c r="S13" i="50" s="1"/>
  <c r="J15" i="50"/>
  <c r="S15" i="50" s="1"/>
  <c r="J7" i="50"/>
  <c r="J8" i="50"/>
  <c r="S8" i="50" s="1"/>
  <c r="J14" i="50"/>
  <c r="S14" i="50" s="1"/>
  <c r="J12" i="50"/>
  <c r="S12" i="50" s="1"/>
  <c r="J9" i="50"/>
  <c r="S9" i="50" s="1"/>
  <c r="J16" i="50"/>
  <c r="S16" i="50" s="1"/>
  <c r="J10" i="50"/>
  <c r="S10" i="50" s="1"/>
  <c r="J11" i="50"/>
  <c r="S11" i="50" s="1"/>
  <c r="N65" i="50"/>
  <c r="O65" i="50" s="1"/>
  <c r="M65" i="50"/>
  <c r="U65" i="50" s="1"/>
  <c r="W65" i="50" s="1"/>
  <c r="X64" i="50"/>
  <c r="Y64" i="50" s="1"/>
  <c r="V65" i="50" s="1"/>
  <c r="K12" i="50"/>
  <c r="T12" i="50" s="1"/>
  <c r="K10" i="50"/>
  <c r="T10" i="50" s="1"/>
  <c r="K11" i="50"/>
  <c r="T11" i="50" s="1"/>
  <c r="K15" i="50"/>
  <c r="T15" i="50" s="1"/>
  <c r="K9" i="50"/>
  <c r="T9" i="50" s="1"/>
  <c r="K14" i="50"/>
  <c r="T14" i="50" s="1"/>
  <c r="K16" i="50"/>
  <c r="T16" i="50" s="1"/>
  <c r="K8" i="50"/>
  <c r="T8" i="50" s="1"/>
  <c r="K13" i="50"/>
  <c r="T13" i="50" s="1"/>
  <c r="K7" i="50"/>
  <c r="AT63" i="49"/>
  <c r="AQ64" i="49" s="1"/>
  <c r="AS64" i="49" s="1"/>
  <c r="BD64" i="49"/>
  <c r="BE64" i="49"/>
  <c r="BB65" i="49" s="1"/>
  <c r="X63" i="49"/>
  <c r="Y63" i="49" s="1"/>
  <c r="V64" i="49" s="1"/>
  <c r="I68" i="49"/>
  <c r="Q67" i="49"/>
  <c r="T73" i="49"/>
  <c r="J66" i="49"/>
  <c r="R66" i="49" s="1"/>
  <c r="S66" i="49" s="1"/>
  <c r="C67" i="49"/>
  <c r="AC66" i="49"/>
  <c r="AB66" i="49"/>
  <c r="AL66" i="49" s="1"/>
  <c r="F66" i="49"/>
  <c r="E66" i="49"/>
  <c r="G66" i="49" s="1"/>
  <c r="AA68" i="49"/>
  <c r="AK68" i="49" s="1"/>
  <c r="AV68" i="49" s="1"/>
  <c r="B69" i="49"/>
  <c r="AH64" i="49"/>
  <c r="AI64" i="49" s="1"/>
  <c r="AF65" i="49" s="1"/>
  <c r="G65" i="49"/>
  <c r="N65" i="49" s="1"/>
  <c r="AO65" i="49"/>
  <c r="AN65" i="49"/>
  <c r="K65" i="49"/>
  <c r="AW65" i="49"/>
  <c r="L65" i="49"/>
  <c r="AD69" i="49"/>
  <c r="O65" i="49" l="1"/>
  <c r="O66" i="50"/>
  <c r="AI65" i="53"/>
  <c r="AF66" i="53" s="1"/>
  <c r="AT64" i="49"/>
  <c r="AQ65" i="49" s="1"/>
  <c r="AS65" i="49" s="1"/>
  <c r="BE65" i="53"/>
  <c r="BB66" i="53" s="1"/>
  <c r="BD66" i="53" s="1"/>
  <c r="AI65" i="50"/>
  <c r="AF66" i="50" s="1"/>
  <c r="AH66" i="50" s="1"/>
  <c r="BE65" i="50"/>
  <c r="BB66" i="50" s="1"/>
  <c r="BD66" i="50" s="1"/>
  <c r="AS65" i="53"/>
  <c r="AT65" i="53" s="1"/>
  <c r="AQ66" i="53" s="1"/>
  <c r="AS66" i="53" s="1"/>
  <c r="AT66" i="53" s="1"/>
  <c r="AQ67" i="53" s="1"/>
  <c r="J17" i="53"/>
  <c r="S17" i="53" s="1"/>
  <c r="X65" i="53"/>
  <c r="Y65" i="53" s="1"/>
  <c r="V66" i="53" s="1"/>
  <c r="K17" i="53"/>
  <c r="T7" i="53"/>
  <c r="AH66" i="53"/>
  <c r="AI66" i="53" s="1"/>
  <c r="AF67" i="53" s="1"/>
  <c r="AE67" i="53"/>
  <c r="AG67" i="53" s="1"/>
  <c r="BA67" i="53"/>
  <c r="BC67" i="53" s="1"/>
  <c r="AP67" i="53"/>
  <c r="AR67" i="53" s="1"/>
  <c r="I69" i="53"/>
  <c r="Q68" i="53"/>
  <c r="B71" i="53"/>
  <c r="AA70" i="53"/>
  <c r="AK70" i="53" s="1"/>
  <c r="AV70" i="53" s="1"/>
  <c r="AD73" i="53"/>
  <c r="AW67" i="53"/>
  <c r="L67" i="53"/>
  <c r="M67" i="53" s="1"/>
  <c r="U67" i="53" s="1"/>
  <c r="W67" i="53" s="1"/>
  <c r="K67" i="53"/>
  <c r="N67" i="53"/>
  <c r="E68" i="53"/>
  <c r="J68" i="53"/>
  <c r="R68" i="53" s="1"/>
  <c r="S68" i="53" s="1"/>
  <c r="AC68" i="53"/>
  <c r="AB68" i="53"/>
  <c r="AL68" i="53" s="1"/>
  <c r="C69" i="53"/>
  <c r="F68" i="53"/>
  <c r="T70" i="53"/>
  <c r="M67" i="52"/>
  <c r="U67" i="52" s="1"/>
  <c r="W67" i="52" s="1"/>
  <c r="AS66" i="52"/>
  <c r="AT66" i="52" s="1"/>
  <c r="AQ67" i="52" s="1"/>
  <c r="AH67" i="52"/>
  <c r="X67" i="52"/>
  <c r="Q69" i="52"/>
  <c r="I70" i="52"/>
  <c r="B71" i="52"/>
  <c r="AA70" i="52"/>
  <c r="AK70" i="52" s="1"/>
  <c r="AV70" i="52" s="1"/>
  <c r="AD69" i="52"/>
  <c r="T17" i="52"/>
  <c r="T71" i="52"/>
  <c r="F69" i="52"/>
  <c r="E69" i="52"/>
  <c r="G69" i="52" s="1"/>
  <c r="C70" i="52"/>
  <c r="AC69" i="52"/>
  <c r="AB69" i="52"/>
  <c r="AL69" i="52" s="1"/>
  <c r="J69" i="52"/>
  <c r="R69" i="52" s="1"/>
  <c r="S69" i="52" s="1"/>
  <c r="AW68" i="52"/>
  <c r="M68" i="52"/>
  <c r="U68" i="52" s="1"/>
  <c r="W68" i="52" s="1"/>
  <c r="L68" i="52"/>
  <c r="K68" i="52"/>
  <c r="N68" i="52"/>
  <c r="G68" i="52"/>
  <c r="AE67" i="52"/>
  <c r="AG67" i="52" s="1"/>
  <c r="AI67" i="52" s="1"/>
  <c r="AF68" i="52" s="1"/>
  <c r="AP67" i="52"/>
  <c r="AR67" i="52" s="1"/>
  <c r="BA67" i="52"/>
  <c r="BC67" i="52" s="1"/>
  <c r="BD67" i="52"/>
  <c r="N67" i="52"/>
  <c r="O67" i="52" s="1"/>
  <c r="AT65" i="50"/>
  <c r="AQ66" i="50" s="1"/>
  <c r="AS66" i="50" s="1"/>
  <c r="M66" i="50"/>
  <c r="U66" i="50" s="1"/>
  <c r="W66" i="50" s="1"/>
  <c r="X65" i="50"/>
  <c r="Y65" i="50" s="1"/>
  <c r="V66" i="50" s="1"/>
  <c r="AD71" i="50"/>
  <c r="K17" i="50"/>
  <c r="T7" i="50"/>
  <c r="J17" i="50"/>
  <c r="S7" i="50"/>
  <c r="L67" i="50"/>
  <c r="M67" i="50" s="1"/>
  <c r="U67" i="50" s="1"/>
  <c r="W67" i="50" s="1"/>
  <c r="K67" i="50"/>
  <c r="AW67" i="50"/>
  <c r="N67" i="50"/>
  <c r="O67" i="50" s="1"/>
  <c r="BA67" i="50"/>
  <c r="BC67" i="50" s="1"/>
  <c r="AP67" i="50"/>
  <c r="AR67" i="50" s="1"/>
  <c r="AE67" i="50"/>
  <c r="AG67" i="50" s="1"/>
  <c r="E68" i="50"/>
  <c r="AC68" i="50"/>
  <c r="C69" i="50"/>
  <c r="J68" i="50"/>
  <c r="R68" i="50" s="1"/>
  <c r="S68" i="50" s="1"/>
  <c r="F68" i="50"/>
  <c r="AB68" i="50"/>
  <c r="AL68" i="50" s="1"/>
  <c r="AA69" i="50"/>
  <c r="AK69" i="50" s="1"/>
  <c r="AV69" i="50" s="1"/>
  <c r="B70" i="50"/>
  <c r="T69" i="50"/>
  <c r="AE66" i="50"/>
  <c r="AG66" i="50" s="1"/>
  <c r="BA66" i="50"/>
  <c r="BC66" i="50" s="1"/>
  <c r="AP66" i="50"/>
  <c r="AR66" i="50" s="1"/>
  <c r="I74" i="50"/>
  <c r="Q73" i="50"/>
  <c r="AH65" i="49"/>
  <c r="X64" i="49"/>
  <c r="Y64" i="49" s="1"/>
  <c r="V65" i="49" s="1"/>
  <c r="C68" i="49"/>
  <c r="J67" i="49"/>
  <c r="R67" i="49" s="1"/>
  <c r="F67" i="49"/>
  <c r="AC67" i="49"/>
  <c r="AB67" i="49"/>
  <c r="AL67" i="49" s="1"/>
  <c r="E67" i="49"/>
  <c r="G67" i="49" s="1"/>
  <c r="AD70" i="49"/>
  <c r="T74" i="49"/>
  <c r="K7" i="49"/>
  <c r="K14" i="49"/>
  <c r="T14" i="49" s="1"/>
  <c r="K8" i="49"/>
  <c r="T8" i="49" s="1"/>
  <c r="K10" i="49"/>
  <c r="T10" i="49" s="1"/>
  <c r="K15" i="49"/>
  <c r="T15" i="49" s="1"/>
  <c r="K11" i="49"/>
  <c r="T11" i="49" s="1"/>
  <c r="K9" i="49"/>
  <c r="T9" i="49" s="1"/>
  <c r="K16" i="49"/>
  <c r="T16" i="49" s="1"/>
  <c r="K12" i="49"/>
  <c r="T12" i="49" s="1"/>
  <c r="K13" i="49"/>
  <c r="T13" i="49" s="1"/>
  <c r="Q68" i="49"/>
  <c r="I69" i="49"/>
  <c r="M65" i="49"/>
  <c r="U65" i="49" s="1"/>
  <c r="W65" i="49" s="1"/>
  <c r="BD65" i="49"/>
  <c r="AP65" i="49"/>
  <c r="AR65" i="49" s="1"/>
  <c r="BA65" i="49"/>
  <c r="BC65" i="49" s="1"/>
  <c r="AE65" i="49"/>
  <c r="AG65" i="49" s="1"/>
  <c r="J11" i="49"/>
  <c r="S11" i="49" s="1"/>
  <c r="J7" i="49"/>
  <c r="J9" i="49"/>
  <c r="S9" i="49" s="1"/>
  <c r="J13" i="49"/>
  <c r="S13" i="49" s="1"/>
  <c r="J8" i="49"/>
  <c r="S8" i="49" s="1"/>
  <c r="J16" i="49"/>
  <c r="S16" i="49" s="1"/>
  <c r="J10" i="49"/>
  <c r="S10" i="49" s="1"/>
  <c r="J12" i="49"/>
  <c r="S12" i="49" s="1"/>
  <c r="J15" i="49"/>
  <c r="S15" i="49" s="1"/>
  <c r="J14" i="49"/>
  <c r="S14" i="49" s="1"/>
  <c r="B70" i="49"/>
  <c r="AA69" i="49"/>
  <c r="AK69" i="49" s="1"/>
  <c r="AV69" i="49" s="1"/>
  <c r="AP66" i="49"/>
  <c r="AR66" i="49" s="1"/>
  <c r="BA66" i="49"/>
  <c r="BC66" i="49" s="1"/>
  <c r="AE66" i="49"/>
  <c r="AG66" i="49" s="1"/>
  <c r="AW66" i="49"/>
  <c r="L66" i="49"/>
  <c r="M66" i="49" s="1"/>
  <c r="U66" i="49" s="1"/>
  <c r="W66" i="49" s="1"/>
  <c r="K66" i="49"/>
  <c r="N66" i="49"/>
  <c r="O66" i="49" s="1"/>
  <c r="BE67" i="52" l="1"/>
  <c r="BB68" i="52" s="1"/>
  <c r="Y67" i="52"/>
  <c r="V68" i="52" s="1"/>
  <c r="O68" i="52"/>
  <c r="AI66" i="50"/>
  <c r="AF67" i="50" s="1"/>
  <c r="AH67" i="50" s="1"/>
  <c r="AI67" i="50" s="1"/>
  <c r="AF68" i="50" s="1"/>
  <c r="BE66" i="50"/>
  <c r="BB67" i="50" s="1"/>
  <c r="AI65" i="49"/>
  <c r="AF66" i="49" s="1"/>
  <c r="AH66" i="49" s="1"/>
  <c r="AI66" i="49" s="1"/>
  <c r="AF67" i="49" s="1"/>
  <c r="BE66" i="53"/>
  <c r="BB67" i="53" s="1"/>
  <c r="BD67" i="53" s="1"/>
  <c r="BE65" i="49"/>
  <c r="BB66" i="49" s="1"/>
  <c r="BD66" i="49" s="1"/>
  <c r="BE66" i="49" s="1"/>
  <c r="BB67" i="49" s="1"/>
  <c r="AS67" i="53"/>
  <c r="AT67" i="53" s="1"/>
  <c r="AQ68" i="53" s="1"/>
  <c r="AH67" i="53"/>
  <c r="AI67" i="53" s="1"/>
  <c r="AF68" i="53" s="1"/>
  <c r="AD74" i="53"/>
  <c r="AA71" i="53"/>
  <c r="AK71" i="53" s="1"/>
  <c r="AV71" i="53" s="1"/>
  <c r="B72" i="53"/>
  <c r="Q69" i="53"/>
  <c r="I70" i="53"/>
  <c r="X66" i="53"/>
  <c r="Y66" i="53" s="1"/>
  <c r="V67" i="53" s="1"/>
  <c r="T71" i="53"/>
  <c r="AB69" i="53"/>
  <c r="AL69" i="53" s="1"/>
  <c r="J69" i="53"/>
  <c r="R69" i="53" s="1"/>
  <c r="S69" i="53" s="1"/>
  <c r="F69" i="53"/>
  <c r="E69" i="53"/>
  <c r="C70" i="53"/>
  <c r="AC69" i="53"/>
  <c r="AW68" i="53"/>
  <c r="L68" i="53"/>
  <c r="K68" i="53"/>
  <c r="M68" i="53"/>
  <c r="U68" i="53" s="1"/>
  <c r="W68" i="53" s="1"/>
  <c r="N68" i="53"/>
  <c r="O68" i="53" s="1"/>
  <c r="G68" i="53"/>
  <c r="T17" i="53"/>
  <c r="O67" i="53"/>
  <c r="BD68" i="52"/>
  <c r="AH68" i="52"/>
  <c r="X68" i="52"/>
  <c r="Y68" i="52" s="1"/>
  <c r="V69" i="52" s="1"/>
  <c r="AS67" i="52"/>
  <c r="AT67" i="52" s="1"/>
  <c r="AQ68" i="52" s="1"/>
  <c r="AC70" i="52"/>
  <c r="F70" i="52"/>
  <c r="AB70" i="52"/>
  <c r="AL70" i="52" s="1"/>
  <c r="E70" i="52"/>
  <c r="G70" i="52" s="1"/>
  <c r="C71" i="52"/>
  <c r="J70" i="52"/>
  <c r="R70" i="52" s="1"/>
  <c r="S70" i="52" s="1"/>
  <c r="AE69" i="52"/>
  <c r="AG69" i="52" s="1"/>
  <c r="BA69" i="52"/>
  <c r="BC69" i="52" s="1"/>
  <c r="AP69" i="52"/>
  <c r="AR69" i="52" s="1"/>
  <c r="T72" i="52"/>
  <c r="AD70" i="52"/>
  <c r="B72" i="52"/>
  <c r="AA71" i="52"/>
  <c r="AK71" i="52" s="1"/>
  <c r="AV71" i="52" s="1"/>
  <c r="AP68" i="52"/>
  <c r="AR68" i="52" s="1"/>
  <c r="AE68" i="52"/>
  <c r="AG68" i="52" s="1"/>
  <c r="BA68" i="52"/>
  <c r="BC68" i="52" s="1"/>
  <c r="Q70" i="52"/>
  <c r="I71" i="52"/>
  <c r="M69" i="52"/>
  <c r="U69" i="52" s="1"/>
  <c r="W69" i="52" s="1"/>
  <c r="AW69" i="52"/>
  <c r="L69" i="52"/>
  <c r="K69" i="52"/>
  <c r="N69" i="52"/>
  <c r="O69" i="52" s="1"/>
  <c r="AT66" i="50"/>
  <c r="AQ67" i="50" s="1"/>
  <c r="AS67" i="50" s="1"/>
  <c r="AT67" i="50" s="1"/>
  <c r="AQ68" i="50" s="1"/>
  <c r="BD67" i="50"/>
  <c r="BE67" i="50" s="1"/>
  <c r="BB68" i="50" s="1"/>
  <c r="X66" i="50"/>
  <c r="Y66" i="50" s="1"/>
  <c r="V67" i="50" s="1"/>
  <c r="T70" i="50"/>
  <c r="S17" i="50"/>
  <c r="AA70" i="50"/>
  <c r="AK70" i="50" s="1"/>
  <c r="AV70" i="50" s="1"/>
  <c r="B71" i="50"/>
  <c r="AW68" i="50"/>
  <c r="M68" i="50"/>
  <c r="U68" i="50" s="1"/>
  <c r="W68" i="50" s="1"/>
  <c r="L68" i="50"/>
  <c r="K68" i="50"/>
  <c r="N68" i="50"/>
  <c r="O68" i="50" s="1"/>
  <c r="Q74" i="50"/>
  <c r="I75" i="50"/>
  <c r="T17" i="50"/>
  <c r="AD72" i="50"/>
  <c r="F69" i="50"/>
  <c r="AB69" i="50"/>
  <c r="AL69" i="50" s="1"/>
  <c r="AC69" i="50"/>
  <c r="J69" i="50"/>
  <c r="R69" i="50" s="1"/>
  <c r="S69" i="50" s="1"/>
  <c r="E69" i="50"/>
  <c r="C70" i="50"/>
  <c r="G68" i="50"/>
  <c r="AT65" i="49"/>
  <c r="AQ66" i="49" s="1"/>
  <c r="AS66" i="49" s="1"/>
  <c r="X65" i="49"/>
  <c r="Y65" i="49" s="1"/>
  <c r="V66" i="49" s="1"/>
  <c r="AP67" i="49"/>
  <c r="AR67" i="49" s="1"/>
  <c r="AE67" i="49"/>
  <c r="AG67" i="49" s="1"/>
  <c r="BA67" i="49"/>
  <c r="BC67" i="49" s="1"/>
  <c r="I70" i="49"/>
  <c r="Q69" i="49"/>
  <c r="AC68" i="49"/>
  <c r="E68" i="49"/>
  <c r="AB68" i="49"/>
  <c r="AL68" i="49" s="1"/>
  <c r="J68" i="49"/>
  <c r="R68" i="49" s="1"/>
  <c r="S68" i="49" s="1"/>
  <c r="F68" i="49"/>
  <c r="C69" i="49"/>
  <c r="AA70" i="49"/>
  <c r="AK70" i="49" s="1"/>
  <c r="AV70" i="49" s="1"/>
  <c r="B71" i="49"/>
  <c r="AD71" i="49"/>
  <c r="L67" i="49"/>
  <c r="M67" i="49" s="1"/>
  <c r="U67" i="49" s="1"/>
  <c r="W67" i="49" s="1"/>
  <c r="K67" i="49"/>
  <c r="AW67" i="49"/>
  <c r="N67" i="49"/>
  <c r="S7" i="49"/>
  <c r="J17" i="49"/>
  <c r="T7" i="49"/>
  <c r="K17" i="49"/>
  <c r="T75" i="49"/>
  <c r="G69" i="53" l="1"/>
  <c r="O67" i="49"/>
  <c r="BE68" i="52"/>
  <c r="BB69" i="52" s="1"/>
  <c r="BE67" i="53"/>
  <c r="BB68" i="53" s="1"/>
  <c r="AI68" i="52"/>
  <c r="AF69" i="52" s="1"/>
  <c r="AH69" i="52" s="1"/>
  <c r="AI69" i="52" s="1"/>
  <c r="AF70" i="52" s="1"/>
  <c r="X67" i="53"/>
  <c r="Y67" i="53" s="1"/>
  <c r="V68" i="53" s="1"/>
  <c r="AH68" i="53"/>
  <c r="AS68" i="53"/>
  <c r="BD68" i="53"/>
  <c r="L69" i="53"/>
  <c r="K69" i="53"/>
  <c r="M69" i="53"/>
  <c r="U69" i="53" s="1"/>
  <c r="W69" i="53" s="1"/>
  <c r="AW69" i="53"/>
  <c r="N69" i="53"/>
  <c r="O69" i="53" s="1"/>
  <c r="AE68" i="53"/>
  <c r="AG68" i="53" s="1"/>
  <c r="AP68" i="53"/>
  <c r="AR68" i="53" s="1"/>
  <c r="BA68" i="53"/>
  <c r="BC68" i="53" s="1"/>
  <c r="BE68" i="53" s="1"/>
  <c r="BB69" i="53" s="1"/>
  <c r="BA69" i="53"/>
  <c r="BC69" i="53" s="1"/>
  <c r="AP69" i="53"/>
  <c r="AR69" i="53" s="1"/>
  <c r="AE69" i="53"/>
  <c r="AG69" i="53" s="1"/>
  <c r="T72" i="53"/>
  <c r="I71" i="53"/>
  <c r="Q70" i="53"/>
  <c r="B73" i="53"/>
  <c r="AA72" i="53"/>
  <c r="AK72" i="53" s="1"/>
  <c r="AV72" i="53" s="1"/>
  <c r="AD75" i="53"/>
  <c r="AC70" i="53"/>
  <c r="F70" i="53"/>
  <c r="AB70" i="53"/>
  <c r="AL70" i="53" s="1"/>
  <c r="E70" i="53"/>
  <c r="J70" i="53"/>
  <c r="R70" i="53" s="1"/>
  <c r="S70" i="53" s="1"/>
  <c r="C71" i="53"/>
  <c r="AS68" i="52"/>
  <c r="AT68" i="52" s="1"/>
  <c r="AQ69" i="52" s="1"/>
  <c r="X69" i="52"/>
  <c r="Y69" i="52" s="1"/>
  <c r="V70" i="52" s="1"/>
  <c r="BD69" i="52"/>
  <c r="BE69" i="52" s="1"/>
  <c r="BB70" i="52" s="1"/>
  <c r="BA70" i="52"/>
  <c r="BC70" i="52" s="1"/>
  <c r="AP70" i="52"/>
  <c r="AR70" i="52" s="1"/>
  <c r="AE70" i="52"/>
  <c r="AG70" i="52" s="1"/>
  <c r="K70" i="52"/>
  <c r="M70" i="52"/>
  <c r="U70" i="52" s="1"/>
  <c r="W70" i="52" s="1"/>
  <c r="L70" i="52"/>
  <c r="AW70" i="52"/>
  <c r="N70" i="52"/>
  <c r="I72" i="52"/>
  <c r="Q71" i="52"/>
  <c r="B73" i="52"/>
  <c r="AA72" i="52"/>
  <c r="AK72" i="52" s="1"/>
  <c r="AV72" i="52" s="1"/>
  <c r="T73" i="52"/>
  <c r="C72" i="52"/>
  <c r="J71" i="52"/>
  <c r="R71" i="52" s="1"/>
  <c r="S71" i="52" s="1"/>
  <c r="AC71" i="52"/>
  <c r="E71" i="52"/>
  <c r="F71" i="52"/>
  <c r="AB71" i="52"/>
  <c r="AL71" i="52" s="1"/>
  <c r="AD71" i="52"/>
  <c r="G69" i="50"/>
  <c r="AE69" i="50" s="1"/>
  <c r="AG69" i="50" s="1"/>
  <c r="X67" i="50"/>
  <c r="Y67" i="50" s="1"/>
  <c r="V68" i="50" s="1"/>
  <c r="AH68" i="50"/>
  <c r="B72" i="50"/>
  <c r="AA71" i="50"/>
  <c r="AK71" i="50" s="1"/>
  <c r="AV71" i="50" s="1"/>
  <c r="T71" i="50"/>
  <c r="AS68" i="50"/>
  <c r="BA68" i="50"/>
  <c r="BC68" i="50" s="1"/>
  <c r="AP68" i="50"/>
  <c r="AR68" i="50" s="1"/>
  <c r="AE68" i="50"/>
  <c r="AG68" i="50" s="1"/>
  <c r="AC70" i="50"/>
  <c r="F70" i="50"/>
  <c r="AB70" i="50"/>
  <c r="AL70" i="50" s="1"/>
  <c r="E70" i="50"/>
  <c r="C71" i="50"/>
  <c r="J70" i="50"/>
  <c r="R70" i="50" s="1"/>
  <c r="S70" i="50" s="1"/>
  <c r="L69" i="50"/>
  <c r="K69" i="50"/>
  <c r="AW69" i="50"/>
  <c r="M69" i="50"/>
  <c r="U69" i="50" s="1"/>
  <c r="W69" i="50" s="1"/>
  <c r="N69" i="50"/>
  <c r="O69" i="50" s="1"/>
  <c r="AD73" i="50"/>
  <c r="BD68" i="50"/>
  <c r="Q75" i="50"/>
  <c r="I76" i="50"/>
  <c r="Q76" i="50" s="1"/>
  <c r="AT66" i="49"/>
  <c r="AQ67" i="49" s="1"/>
  <c r="AS67" i="49" s="1"/>
  <c r="AT67" i="49" s="1"/>
  <c r="AQ68" i="49" s="1"/>
  <c r="BD67" i="49"/>
  <c r="BE67" i="49" s="1"/>
  <c r="BB68" i="49" s="1"/>
  <c r="X66" i="49"/>
  <c r="Y66" i="49" s="1"/>
  <c r="V67" i="49" s="1"/>
  <c r="AH67" i="49"/>
  <c r="AI67" i="49" s="1"/>
  <c r="AF68" i="49" s="1"/>
  <c r="AA71" i="49"/>
  <c r="AK71" i="49" s="1"/>
  <c r="AV71" i="49" s="1"/>
  <c r="B72" i="49"/>
  <c r="J69" i="49"/>
  <c r="R69" i="49" s="1"/>
  <c r="S69" i="49" s="1"/>
  <c r="F69" i="49"/>
  <c r="E69" i="49"/>
  <c r="G69" i="49" s="1"/>
  <c r="AB69" i="49"/>
  <c r="AL69" i="49" s="1"/>
  <c r="AC69" i="49"/>
  <c r="C70" i="49"/>
  <c r="AW68" i="49"/>
  <c r="L68" i="49"/>
  <c r="K68" i="49"/>
  <c r="M68" i="49"/>
  <c r="U68" i="49" s="1"/>
  <c r="W68" i="49" s="1"/>
  <c r="N68" i="49"/>
  <c r="O68" i="49" s="1"/>
  <c r="T17" i="49"/>
  <c r="AD72" i="49"/>
  <c r="T76" i="49"/>
  <c r="G68" i="49"/>
  <c r="S17" i="49"/>
  <c r="I71" i="49"/>
  <c r="Q70" i="49"/>
  <c r="BE68" i="50" l="1"/>
  <c r="BB69" i="50" s="1"/>
  <c r="AT68" i="50"/>
  <c r="AQ69" i="50" s="1"/>
  <c r="AT68" i="53"/>
  <c r="AQ69" i="53" s="1"/>
  <c r="AS69" i="53" s="1"/>
  <c r="AT69" i="53" s="1"/>
  <c r="AQ70" i="53" s="1"/>
  <c r="AI68" i="53"/>
  <c r="AF69" i="53" s="1"/>
  <c r="AH69" i="53" s="1"/>
  <c r="AI69" i="53" s="1"/>
  <c r="AF70" i="53" s="1"/>
  <c r="G70" i="53"/>
  <c r="AP70" i="53" s="1"/>
  <c r="AR70" i="53" s="1"/>
  <c r="BD69" i="53"/>
  <c r="BE69" i="53" s="1"/>
  <c r="BB70" i="53" s="1"/>
  <c r="AW70" i="53"/>
  <c r="M70" i="53"/>
  <c r="U70" i="53" s="1"/>
  <c r="W70" i="53" s="1"/>
  <c r="L70" i="53"/>
  <c r="K70" i="53"/>
  <c r="N70" i="53"/>
  <c r="F71" i="53"/>
  <c r="E71" i="53"/>
  <c r="C72" i="53"/>
  <c r="AC71" i="53"/>
  <c r="J71" i="53"/>
  <c r="R71" i="53" s="1"/>
  <c r="S71" i="53" s="1"/>
  <c r="AB71" i="53"/>
  <c r="AL71" i="53" s="1"/>
  <c r="AD76" i="53"/>
  <c r="B74" i="53"/>
  <c r="AA73" i="53"/>
  <c r="AK73" i="53" s="1"/>
  <c r="AV73" i="53" s="1"/>
  <c r="I72" i="53"/>
  <c r="Q71" i="53"/>
  <c r="T73" i="53"/>
  <c r="X68" i="53"/>
  <c r="Y68" i="53" s="1"/>
  <c r="V69" i="53" s="1"/>
  <c r="X70" i="52"/>
  <c r="Y70" i="52" s="1"/>
  <c r="V71" i="52" s="1"/>
  <c r="AS69" i="52"/>
  <c r="AT69" i="52" s="1"/>
  <c r="AQ70" i="52" s="1"/>
  <c r="AD72" i="52"/>
  <c r="K71" i="52"/>
  <c r="M71" i="52"/>
  <c r="U71" i="52" s="1"/>
  <c r="W71" i="52" s="1"/>
  <c r="L71" i="52"/>
  <c r="AW71" i="52"/>
  <c r="N71" i="52"/>
  <c r="O71" i="52" s="1"/>
  <c r="BD70" i="52"/>
  <c r="BE70" i="52" s="1"/>
  <c r="BB71" i="52" s="1"/>
  <c r="G71" i="52"/>
  <c r="AB72" i="52"/>
  <c r="AL72" i="52" s="1"/>
  <c r="C73" i="52"/>
  <c r="AC72" i="52"/>
  <c r="J72" i="52"/>
  <c r="R72" i="52" s="1"/>
  <c r="S72" i="52" s="1"/>
  <c r="F72" i="52"/>
  <c r="E72" i="52"/>
  <c r="G72" i="52" s="1"/>
  <c r="AH70" i="52"/>
  <c r="AI70" i="52" s="1"/>
  <c r="AF71" i="52" s="1"/>
  <c r="T74" i="52"/>
  <c r="B74" i="52"/>
  <c r="AA73" i="52"/>
  <c r="AK73" i="52" s="1"/>
  <c r="AV73" i="52" s="1"/>
  <c r="Q72" i="52"/>
  <c r="I73" i="52"/>
  <c r="O70" i="52"/>
  <c r="G70" i="50"/>
  <c r="BA70" i="50" s="1"/>
  <c r="BC70" i="50" s="1"/>
  <c r="AI68" i="50"/>
  <c r="AF69" i="50" s="1"/>
  <c r="AH69" i="50" s="1"/>
  <c r="AI69" i="50" s="1"/>
  <c r="AF70" i="50" s="1"/>
  <c r="AP69" i="50"/>
  <c r="AR69" i="50" s="1"/>
  <c r="BA69" i="50"/>
  <c r="BC69" i="50" s="1"/>
  <c r="AS69" i="50"/>
  <c r="BD69" i="50"/>
  <c r="X68" i="50"/>
  <c r="Y68" i="50" s="1"/>
  <c r="V69" i="50" s="1"/>
  <c r="AD74" i="50"/>
  <c r="M70" i="50"/>
  <c r="U70" i="50" s="1"/>
  <c r="W70" i="50" s="1"/>
  <c r="K70" i="50"/>
  <c r="AW70" i="50"/>
  <c r="L70" i="50"/>
  <c r="N70" i="50"/>
  <c r="O70" i="50" s="1"/>
  <c r="T72" i="50"/>
  <c r="AA72" i="50"/>
  <c r="AK72" i="50" s="1"/>
  <c r="AV72" i="50" s="1"/>
  <c r="B73" i="50"/>
  <c r="C72" i="50"/>
  <c r="J71" i="50"/>
  <c r="R71" i="50" s="1"/>
  <c r="S71" i="50" s="1"/>
  <c r="E71" i="50"/>
  <c r="F71" i="50"/>
  <c r="AC71" i="50"/>
  <c r="AB71" i="50"/>
  <c r="AL71" i="50" s="1"/>
  <c r="BD68" i="49"/>
  <c r="AS68" i="49"/>
  <c r="AH68" i="49"/>
  <c r="AD73" i="49"/>
  <c r="AB70" i="49"/>
  <c r="AL70" i="49" s="1"/>
  <c r="E70" i="49"/>
  <c r="C71" i="49"/>
  <c r="J70" i="49"/>
  <c r="R70" i="49" s="1"/>
  <c r="S70" i="49" s="1"/>
  <c r="F70" i="49"/>
  <c r="AC70" i="49"/>
  <c r="M69" i="49"/>
  <c r="U69" i="49" s="1"/>
  <c r="W69" i="49" s="1"/>
  <c r="K69" i="49"/>
  <c r="AW69" i="49"/>
  <c r="L69" i="49"/>
  <c r="N69" i="49"/>
  <c r="O69" i="49" s="1"/>
  <c r="BA69" i="49"/>
  <c r="BC69" i="49" s="1"/>
  <c r="AE69" i="49"/>
  <c r="AG69" i="49" s="1"/>
  <c r="AP69" i="49"/>
  <c r="AR69" i="49" s="1"/>
  <c r="Q71" i="49"/>
  <c r="I72" i="49"/>
  <c r="AA72" i="49"/>
  <c r="AK72" i="49" s="1"/>
  <c r="AV72" i="49" s="1"/>
  <c r="B73" i="49"/>
  <c r="BA68" i="49"/>
  <c r="BC68" i="49" s="1"/>
  <c r="AP68" i="49"/>
  <c r="AR68" i="49" s="1"/>
  <c r="AE68" i="49"/>
  <c r="AG68" i="49" s="1"/>
  <c r="AI68" i="49" s="1"/>
  <c r="AF69" i="49" s="1"/>
  <c r="X67" i="49"/>
  <c r="Y67" i="49" s="1"/>
  <c r="V68" i="49" s="1"/>
  <c r="O70" i="53" l="1"/>
  <c r="G71" i="53"/>
  <c r="BE68" i="49"/>
  <c r="BB69" i="49" s="1"/>
  <c r="BD69" i="49" s="1"/>
  <c r="AE70" i="53"/>
  <c r="AG70" i="53" s="1"/>
  <c r="BA70" i="53"/>
  <c r="BC70" i="53" s="1"/>
  <c r="X69" i="53"/>
  <c r="Y69" i="53" s="1"/>
  <c r="V70" i="53" s="1"/>
  <c r="AH70" i="53"/>
  <c r="AS70" i="53"/>
  <c r="AT70" i="53" s="1"/>
  <c r="AQ71" i="53" s="1"/>
  <c r="M71" i="53"/>
  <c r="U71" i="53" s="1"/>
  <c r="W71" i="53" s="1"/>
  <c r="L71" i="53"/>
  <c r="K71" i="53"/>
  <c r="AW71" i="53"/>
  <c r="N71" i="53"/>
  <c r="E72" i="53"/>
  <c r="J72" i="53"/>
  <c r="R72" i="53" s="1"/>
  <c r="S72" i="53" s="1"/>
  <c r="C73" i="53"/>
  <c r="F72" i="53"/>
  <c r="AC72" i="53"/>
  <c r="AB72" i="53"/>
  <c r="AL72" i="53" s="1"/>
  <c r="T74" i="53"/>
  <c r="B75" i="53"/>
  <c r="AA74" i="53"/>
  <c r="AK74" i="53" s="1"/>
  <c r="AV74" i="53" s="1"/>
  <c r="Q72" i="53"/>
  <c r="I73" i="53"/>
  <c r="BD70" i="53"/>
  <c r="AP71" i="53"/>
  <c r="AR71" i="53" s="1"/>
  <c r="AE71" i="53"/>
  <c r="AG71" i="53" s="1"/>
  <c r="BA71" i="53"/>
  <c r="BC71" i="53" s="1"/>
  <c r="BD71" i="52"/>
  <c r="AS70" i="52"/>
  <c r="AT70" i="52" s="1"/>
  <c r="AQ71" i="52" s="1"/>
  <c r="AE72" i="52"/>
  <c r="BA72" i="52"/>
  <c r="BC72" i="52" s="1"/>
  <c r="AP72" i="52"/>
  <c r="AR72" i="52" s="1"/>
  <c r="C74" i="52"/>
  <c r="AC73" i="52"/>
  <c r="AB73" i="52"/>
  <c r="AL73" i="52" s="1"/>
  <c r="F73" i="52"/>
  <c r="E73" i="52"/>
  <c r="G73" i="52" s="1"/>
  <c r="J73" i="52"/>
  <c r="R73" i="52" s="1"/>
  <c r="S73" i="52" s="1"/>
  <c r="M72" i="52"/>
  <c r="U72" i="52" s="1"/>
  <c r="W72" i="52" s="1"/>
  <c r="AW72" i="52"/>
  <c r="L72" i="52"/>
  <c r="K72" i="52"/>
  <c r="N72" i="52"/>
  <c r="O72" i="52" s="1"/>
  <c r="AP71" i="52"/>
  <c r="AR71" i="52" s="1"/>
  <c r="AE71" i="52"/>
  <c r="AG71" i="52" s="1"/>
  <c r="BA71" i="52"/>
  <c r="BC71" i="52" s="1"/>
  <c r="Q73" i="52"/>
  <c r="I74" i="52"/>
  <c r="AA74" i="52"/>
  <c r="AK74" i="52" s="1"/>
  <c r="AV74" i="52" s="1"/>
  <c r="B75" i="52"/>
  <c r="AD73" i="52"/>
  <c r="AG72" i="52"/>
  <c r="T75" i="52"/>
  <c r="AH71" i="52"/>
  <c r="X71" i="52"/>
  <c r="Y71" i="52" s="1"/>
  <c r="V72" i="52" s="1"/>
  <c r="AE70" i="50"/>
  <c r="AG70" i="50" s="1"/>
  <c r="AI70" i="50" s="1"/>
  <c r="AF71" i="50" s="1"/>
  <c r="AP70" i="50"/>
  <c r="AR70" i="50" s="1"/>
  <c r="BE69" i="50"/>
  <c r="BB70" i="50" s="1"/>
  <c r="BD70" i="50" s="1"/>
  <c r="BE70" i="50" s="1"/>
  <c r="BB71" i="50" s="1"/>
  <c r="AT69" i="50"/>
  <c r="AQ70" i="50" s="1"/>
  <c r="AS70" i="50" s="1"/>
  <c r="X69" i="50"/>
  <c r="Y69" i="50" s="1"/>
  <c r="V70" i="50" s="1"/>
  <c r="AH70" i="50"/>
  <c r="T73" i="50"/>
  <c r="AD75" i="50"/>
  <c r="M71" i="50"/>
  <c r="U71" i="50" s="1"/>
  <c r="W71" i="50" s="1"/>
  <c r="AW71" i="50"/>
  <c r="K71" i="50"/>
  <c r="L71" i="50"/>
  <c r="N71" i="50"/>
  <c r="O71" i="50" s="1"/>
  <c r="G71" i="50"/>
  <c r="AB72" i="50"/>
  <c r="AL72" i="50" s="1"/>
  <c r="J72" i="50"/>
  <c r="R72" i="50" s="1"/>
  <c r="S72" i="50" s="1"/>
  <c r="C73" i="50"/>
  <c r="AC72" i="50"/>
  <c r="F72" i="50"/>
  <c r="E72" i="50"/>
  <c r="B74" i="50"/>
  <c r="AA73" i="50"/>
  <c r="AK73" i="50" s="1"/>
  <c r="AV73" i="50" s="1"/>
  <c r="AT68" i="49"/>
  <c r="AQ69" i="49" s="1"/>
  <c r="AS69" i="49" s="1"/>
  <c r="X68" i="49"/>
  <c r="Y68" i="49" s="1"/>
  <c r="V69" i="49" s="1"/>
  <c r="AH69" i="49"/>
  <c r="AI69" i="49" s="1"/>
  <c r="AF70" i="49" s="1"/>
  <c r="AB71" i="49"/>
  <c r="AL71" i="49" s="1"/>
  <c r="J71" i="49"/>
  <c r="R71" i="49" s="1"/>
  <c r="S71" i="49" s="1"/>
  <c r="C72" i="49"/>
  <c r="F71" i="49"/>
  <c r="AC71" i="49"/>
  <c r="E71" i="49"/>
  <c r="G71" i="49" s="1"/>
  <c r="G70" i="49"/>
  <c r="M70" i="49"/>
  <c r="U70" i="49" s="1"/>
  <c r="W70" i="49" s="1"/>
  <c r="L70" i="49"/>
  <c r="K70" i="49"/>
  <c r="AW70" i="49"/>
  <c r="N70" i="49"/>
  <c r="O70" i="49" s="1"/>
  <c r="AD74" i="49"/>
  <c r="B74" i="49"/>
  <c r="AA73" i="49"/>
  <c r="AK73" i="49" s="1"/>
  <c r="AV73" i="49" s="1"/>
  <c r="I73" i="49"/>
  <c r="Q72" i="49"/>
  <c r="G72" i="50" l="1"/>
  <c r="AE72" i="50" s="1"/>
  <c r="AG72" i="50" s="1"/>
  <c r="AT70" i="50"/>
  <c r="AQ71" i="50" s="1"/>
  <c r="AS71" i="50" s="1"/>
  <c r="O71" i="53"/>
  <c r="BE69" i="49"/>
  <c r="BB70" i="49" s="1"/>
  <c r="BD70" i="49" s="1"/>
  <c r="BE70" i="53"/>
  <c r="BB71" i="53" s="1"/>
  <c r="BD71" i="53" s="1"/>
  <c r="BE71" i="53" s="1"/>
  <c r="BB72" i="53" s="1"/>
  <c r="AI70" i="53"/>
  <c r="AF71" i="53" s="1"/>
  <c r="AH71" i="53"/>
  <c r="AI71" i="53" s="1"/>
  <c r="AF72" i="53" s="1"/>
  <c r="X70" i="53"/>
  <c r="Y70" i="53" s="1"/>
  <c r="V71" i="53" s="1"/>
  <c r="B76" i="53"/>
  <c r="AA76" i="53" s="1"/>
  <c r="AK76" i="53" s="1"/>
  <c r="AV76" i="53" s="1"/>
  <c r="AA75" i="53"/>
  <c r="AK75" i="53" s="1"/>
  <c r="AV75" i="53" s="1"/>
  <c r="T75" i="53"/>
  <c r="AC73" i="53"/>
  <c r="F73" i="53"/>
  <c r="C74" i="53"/>
  <c r="AB73" i="53"/>
  <c r="AL73" i="53" s="1"/>
  <c r="J73" i="53"/>
  <c r="R73" i="53" s="1"/>
  <c r="S73" i="53" s="1"/>
  <c r="E73" i="53"/>
  <c r="G72" i="53"/>
  <c r="M72" i="53"/>
  <c r="U72" i="53" s="1"/>
  <c r="W72" i="53" s="1"/>
  <c r="L72" i="53"/>
  <c r="AW72" i="53"/>
  <c r="K72" i="53"/>
  <c r="N72" i="53"/>
  <c r="O72" i="53" s="1"/>
  <c r="AS71" i="53"/>
  <c r="AT71" i="53" s="1"/>
  <c r="AQ72" i="53" s="1"/>
  <c r="I74" i="53"/>
  <c r="Q73" i="53"/>
  <c r="BE71" i="52"/>
  <c r="BB72" i="52" s="1"/>
  <c r="AI71" i="52"/>
  <c r="AF72" i="52" s="1"/>
  <c r="AH72" i="52"/>
  <c r="AI72" i="52" s="1"/>
  <c r="AF73" i="52" s="1"/>
  <c r="X72" i="52"/>
  <c r="Y72" i="52"/>
  <c r="V73" i="52" s="1"/>
  <c r="BD72" i="52"/>
  <c r="BE72" i="52" s="1"/>
  <c r="BB73" i="52" s="1"/>
  <c r="AS71" i="52"/>
  <c r="AT71" i="52"/>
  <c r="AQ72" i="52" s="1"/>
  <c r="AE73" i="52"/>
  <c r="AG73" i="52" s="1"/>
  <c r="AP73" i="52"/>
  <c r="AR73" i="52" s="1"/>
  <c r="BA73" i="52"/>
  <c r="BC73" i="52" s="1"/>
  <c r="L73" i="52"/>
  <c r="K73" i="52"/>
  <c r="AW73" i="52"/>
  <c r="N73" i="52"/>
  <c r="M73" i="52"/>
  <c r="U73" i="52" s="1"/>
  <c r="W73" i="52" s="1"/>
  <c r="J74" i="52"/>
  <c r="R74" i="52" s="1"/>
  <c r="S74" i="52" s="1"/>
  <c r="C75" i="52"/>
  <c r="AC74" i="52"/>
  <c r="AB74" i="52"/>
  <c r="AL74" i="52" s="1"/>
  <c r="F74" i="52"/>
  <c r="E74" i="52"/>
  <c r="T76" i="52"/>
  <c r="AD74" i="52"/>
  <c r="B76" i="52"/>
  <c r="AA76" i="52" s="1"/>
  <c r="AK76" i="52" s="1"/>
  <c r="AV76" i="52" s="1"/>
  <c r="AA75" i="52"/>
  <c r="AK75" i="52" s="1"/>
  <c r="AV75" i="52" s="1"/>
  <c r="I75" i="52"/>
  <c r="Q74" i="52"/>
  <c r="BD71" i="50"/>
  <c r="X70" i="50"/>
  <c r="Y70" i="50" s="1"/>
  <c r="V71" i="50" s="1"/>
  <c r="M72" i="50"/>
  <c r="U72" i="50" s="1"/>
  <c r="W72" i="50" s="1"/>
  <c r="K72" i="50"/>
  <c r="AW72" i="50"/>
  <c r="L72" i="50"/>
  <c r="N72" i="50"/>
  <c r="AP71" i="50"/>
  <c r="AR71" i="50" s="1"/>
  <c r="BA71" i="50"/>
  <c r="BC71" i="50" s="1"/>
  <c r="AE71" i="50"/>
  <c r="AG71" i="50" s="1"/>
  <c r="AD76" i="50"/>
  <c r="T74" i="50"/>
  <c r="AH71" i="50"/>
  <c r="B75" i="50"/>
  <c r="AA74" i="50"/>
  <c r="AK74" i="50" s="1"/>
  <c r="AV74" i="50" s="1"/>
  <c r="F73" i="50"/>
  <c r="E73" i="50"/>
  <c r="G73" i="50" s="1"/>
  <c r="AC73" i="50"/>
  <c r="AB73" i="50"/>
  <c r="AL73" i="50" s="1"/>
  <c r="J73" i="50"/>
  <c r="R73" i="50" s="1"/>
  <c r="S73" i="50" s="1"/>
  <c r="C74" i="50"/>
  <c r="AT69" i="49"/>
  <c r="AQ70" i="49" s="1"/>
  <c r="AS70" i="49" s="1"/>
  <c r="AH70" i="49"/>
  <c r="X69" i="49"/>
  <c r="Y69" i="49" s="1"/>
  <c r="V70" i="49" s="1"/>
  <c r="AD75" i="49"/>
  <c r="AE70" i="49"/>
  <c r="AG70" i="49" s="1"/>
  <c r="AP70" i="49"/>
  <c r="AR70" i="49" s="1"/>
  <c r="BA70" i="49"/>
  <c r="BC70" i="49" s="1"/>
  <c r="AE71" i="49"/>
  <c r="AG71" i="49" s="1"/>
  <c r="BA71" i="49"/>
  <c r="BC71" i="49" s="1"/>
  <c r="AP71" i="49"/>
  <c r="AR71" i="49" s="1"/>
  <c r="AB72" i="49"/>
  <c r="AL72" i="49" s="1"/>
  <c r="E72" i="49"/>
  <c r="C73" i="49"/>
  <c r="J72" i="49"/>
  <c r="R72" i="49" s="1"/>
  <c r="S72" i="49" s="1"/>
  <c r="AC72" i="49"/>
  <c r="F72" i="49"/>
  <c r="AW71" i="49"/>
  <c r="M71" i="49"/>
  <c r="U71" i="49" s="1"/>
  <c r="W71" i="49" s="1"/>
  <c r="L71" i="49"/>
  <c r="K71" i="49"/>
  <c r="N71" i="49"/>
  <c r="O71" i="49" s="1"/>
  <c r="Q73" i="49"/>
  <c r="I74" i="49"/>
  <c r="AA74" i="49"/>
  <c r="AK74" i="49" s="1"/>
  <c r="AV74" i="49" s="1"/>
  <c r="B75" i="49"/>
  <c r="AP72" i="50" l="1"/>
  <c r="AR72" i="50" s="1"/>
  <c r="BA72" i="50"/>
  <c r="BC72" i="50" s="1"/>
  <c r="G73" i="53"/>
  <c r="O72" i="50"/>
  <c r="O73" i="52"/>
  <c r="AI70" i="49"/>
  <c r="AF71" i="49" s="1"/>
  <c r="AH71" i="49" s="1"/>
  <c r="BE70" i="49"/>
  <c r="BB71" i="49" s="1"/>
  <c r="BD71" i="49" s="1"/>
  <c r="BE71" i="49" s="1"/>
  <c r="BB72" i="49" s="1"/>
  <c r="AI71" i="50"/>
  <c r="AF72" i="50" s="1"/>
  <c r="BE71" i="50"/>
  <c r="BB72" i="50" s="1"/>
  <c r="AT71" i="50"/>
  <c r="AQ72" i="50" s="1"/>
  <c r="BD72" i="53"/>
  <c r="X71" i="53"/>
  <c r="Y71" i="53" s="1"/>
  <c r="V72" i="53" s="1"/>
  <c r="AH72" i="53"/>
  <c r="AS72" i="53"/>
  <c r="AE72" i="53"/>
  <c r="AG72" i="53" s="1"/>
  <c r="AP72" i="53"/>
  <c r="AR72" i="53" s="1"/>
  <c r="BA72" i="53"/>
  <c r="BC72" i="53" s="1"/>
  <c r="BE72" i="53" s="1"/>
  <c r="BB73" i="53" s="1"/>
  <c r="BA73" i="53"/>
  <c r="BC73" i="53" s="1"/>
  <c r="AE73" i="53"/>
  <c r="AG73" i="53" s="1"/>
  <c r="AP73" i="53"/>
  <c r="AR73" i="53" s="1"/>
  <c r="L73" i="53"/>
  <c r="K73" i="53"/>
  <c r="AW73" i="53"/>
  <c r="M73" i="53"/>
  <c r="U73" i="53" s="1"/>
  <c r="W73" i="53" s="1"/>
  <c r="N73" i="53"/>
  <c r="O73" i="53" s="1"/>
  <c r="J74" i="53"/>
  <c r="R74" i="53" s="1"/>
  <c r="S74" i="53" s="1"/>
  <c r="F74" i="53"/>
  <c r="E74" i="53"/>
  <c r="C75" i="53"/>
  <c r="AC74" i="53"/>
  <c r="AB74" i="53"/>
  <c r="AL74" i="53" s="1"/>
  <c r="T76" i="53"/>
  <c r="I75" i="53"/>
  <c r="Q74" i="53"/>
  <c r="G74" i="52"/>
  <c r="BA74" i="52" s="1"/>
  <c r="BC74" i="52" s="1"/>
  <c r="AH73" i="52"/>
  <c r="AI73" i="52" s="1"/>
  <c r="AF74" i="52" s="1"/>
  <c r="C76" i="52"/>
  <c r="AC75" i="52"/>
  <c r="J75" i="52"/>
  <c r="R75" i="52" s="1"/>
  <c r="S75" i="52" s="1"/>
  <c r="AB75" i="52"/>
  <c r="AL75" i="52" s="1"/>
  <c r="F75" i="52"/>
  <c r="E75" i="52"/>
  <c r="I76" i="52"/>
  <c r="Q76" i="52" s="1"/>
  <c r="Q75" i="52"/>
  <c r="AS72" i="52"/>
  <c r="AT72" i="52" s="1"/>
  <c r="AQ73" i="52" s="1"/>
  <c r="AD75" i="52"/>
  <c r="K74" i="52"/>
  <c r="M74" i="52"/>
  <c r="U74" i="52" s="1"/>
  <c r="W74" i="52" s="1"/>
  <c r="L74" i="52"/>
  <c r="AW74" i="52"/>
  <c r="N74" i="52"/>
  <c r="BD73" i="52"/>
  <c r="BE73" i="52" s="1"/>
  <c r="BB74" i="52" s="1"/>
  <c r="X73" i="52"/>
  <c r="Y73" i="52" s="1"/>
  <c r="V74" i="52" s="1"/>
  <c r="AS72" i="50"/>
  <c r="AT72" i="50" s="1"/>
  <c r="AQ73" i="50" s="1"/>
  <c r="BD72" i="50"/>
  <c r="BE72" i="50"/>
  <c r="BB73" i="50" s="1"/>
  <c r="X71" i="50"/>
  <c r="Y71" i="50" s="1"/>
  <c r="V72" i="50" s="1"/>
  <c r="AH72" i="50"/>
  <c r="AI72" i="50" s="1"/>
  <c r="AF73" i="50" s="1"/>
  <c r="T75" i="50"/>
  <c r="J74" i="50"/>
  <c r="R74" i="50" s="1"/>
  <c r="S74" i="50" s="1"/>
  <c r="C75" i="50"/>
  <c r="AC74" i="50"/>
  <c r="AB74" i="50"/>
  <c r="AL74" i="50" s="1"/>
  <c r="F74" i="50"/>
  <c r="E74" i="50"/>
  <c r="G74" i="50" s="1"/>
  <c r="AW73" i="50"/>
  <c r="L73" i="50"/>
  <c r="M73" i="50"/>
  <c r="U73" i="50" s="1"/>
  <c r="W73" i="50" s="1"/>
  <c r="K73" i="50"/>
  <c r="N73" i="50"/>
  <c r="O73" i="50" s="1"/>
  <c r="AE73" i="50"/>
  <c r="AG73" i="50" s="1"/>
  <c r="AP73" i="50"/>
  <c r="AR73" i="50" s="1"/>
  <c r="BA73" i="50"/>
  <c r="BC73" i="50" s="1"/>
  <c r="B76" i="50"/>
  <c r="AA76" i="50" s="1"/>
  <c r="AK76" i="50" s="1"/>
  <c r="AV76" i="50" s="1"/>
  <c r="AA75" i="50"/>
  <c r="AK75" i="50" s="1"/>
  <c r="AV75" i="50" s="1"/>
  <c r="AT70" i="49"/>
  <c r="AQ71" i="49" s="1"/>
  <c r="AS71" i="49" s="1"/>
  <c r="X70" i="49"/>
  <c r="Y70" i="49" s="1"/>
  <c r="V71" i="49" s="1"/>
  <c r="G72" i="49"/>
  <c r="M72" i="49"/>
  <c r="U72" i="49" s="1"/>
  <c r="W72" i="49" s="1"/>
  <c r="L72" i="49"/>
  <c r="K72" i="49"/>
  <c r="AW72" i="49"/>
  <c r="N72" i="49"/>
  <c r="C74" i="49"/>
  <c r="J73" i="49"/>
  <c r="R73" i="49" s="1"/>
  <c r="S73" i="49" s="1"/>
  <c r="E73" i="49"/>
  <c r="F73" i="49"/>
  <c r="AB73" i="49"/>
  <c r="AL73" i="49" s="1"/>
  <c r="AC73" i="49"/>
  <c r="B76" i="49"/>
  <c r="AA76" i="49" s="1"/>
  <c r="AK76" i="49" s="1"/>
  <c r="AV76" i="49" s="1"/>
  <c r="AA75" i="49"/>
  <c r="AK75" i="49" s="1"/>
  <c r="AV75" i="49" s="1"/>
  <c r="I75" i="49"/>
  <c r="Q74" i="49"/>
  <c r="AD76" i="49"/>
  <c r="AT72" i="53" l="1"/>
  <c r="AQ73" i="53" s="1"/>
  <c r="AI72" i="53"/>
  <c r="AF73" i="53" s="1"/>
  <c r="G75" i="52"/>
  <c r="AE74" i="52"/>
  <c r="AG74" i="52" s="1"/>
  <c r="AI71" i="49"/>
  <c r="AF72" i="49" s="1"/>
  <c r="AH72" i="49" s="1"/>
  <c r="AP74" i="52"/>
  <c r="AR74" i="52" s="1"/>
  <c r="BD73" i="53"/>
  <c r="BE73" i="53" s="1"/>
  <c r="BB74" i="53" s="1"/>
  <c r="AS73" i="53"/>
  <c r="AT73" i="53" s="1"/>
  <c r="AQ74" i="53" s="1"/>
  <c r="AH73" i="53"/>
  <c r="AI73" i="53" s="1"/>
  <c r="AF74" i="53" s="1"/>
  <c r="F75" i="53"/>
  <c r="J75" i="53"/>
  <c r="R75" i="53" s="1"/>
  <c r="S75" i="53" s="1"/>
  <c r="AC75" i="53"/>
  <c r="AB75" i="53"/>
  <c r="AL75" i="53" s="1"/>
  <c r="E75" i="53"/>
  <c r="G75" i="53" s="1"/>
  <c r="C76" i="53"/>
  <c r="I76" i="53"/>
  <c r="Q76" i="53" s="1"/>
  <c r="Q75" i="53"/>
  <c r="K74" i="53"/>
  <c r="AW74" i="53"/>
  <c r="L74" i="53"/>
  <c r="N74" i="53"/>
  <c r="M74" i="53"/>
  <c r="U74" i="53" s="1"/>
  <c r="W74" i="53" s="1"/>
  <c r="X72" i="53"/>
  <c r="Y72" i="53" s="1"/>
  <c r="V73" i="53" s="1"/>
  <c r="G74" i="53"/>
  <c r="O74" i="52"/>
  <c r="BD74" i="52"/>
  <c r="BE74" i="52" s="1"/>
  <c r="BB75" i="52" s="1"/>
  <c r="AS73" i="52"/>
  <c r="AT73" i="52" s="1"/>
  <c r="AQ74" i="52" s="1"/>
  <c r="AH74" i="52"/>
  <c r="AI74" i="52"/>
  <c r="AF75" i="52" s="1"/>
  <c r="AD76" i="52"/>
  <c r="AE75" i="52"/>
  <c r="AG75" i="52" s="1"/>
  <c r="AP75" i="52"/>
  <c r="AR75" i="52" s="1"/>
  <c r="BA75" i="52"/>
  <c r="BC75" i="52" s="1"/>
  <c r="M75" i="52"/>
  <c r="U75" i="52" s="1"/>
  <c r="W75" i="52" s="1"/>
  <c r="AW75" i="52"/>
  <c r="L75" i="52"/>
  <c r="K75" i="52"/>
  <c r="N75" i="52"/>
  <c r="X74" i="52"/>
  <c r="Y74" i="52" s="1"/>
  <c r="V75" i="52" s="1"/>
  <c r="AC76" i="52"/>
  <c r="AB76" i="52"/>
  <c r="AL76" i="52" s="1"/>
  <c r="F76" i="52"/>
  <c r="F21" i="52" s="1"/>
  <c r="G21" i="52" s="1"/>
  <c r="J76" i="52"/>
  <c r="R76" i="52" s="1"/>
  <c r="S76" i="52" s="1"/>
  <c r="E76" i="52"/>
  <c r="G76" i="52" s="1"/>
  <c r="AH73" i="50"/>
  <c r="AI73" i="50" s="1"/>
  <c r="AF74" i="50" s="1"/>
  <c r="X72" i="50"/>
  <c r="Y72" i="50" s="1"/>
  <c r="V73" i="50" s="1"/>
  <c r="AS73" i="50"/>
  <c r="AT73" i="50" s="1"/>
  <c r="AQ74" i="50" s="1"/>
  <c r="AE74" i="50"/>
  <c r="AG74" i="50" s="1"/>
  <c r="BA74" i="50"/>
  <c r="BC74" i="50" s="1"/>
  <c r="AP74" i="50"/>
  <c r="AR74" i="50" s="1"/>
  <c r="K74" i="50"/>
  <c r="L74" i="50"/>
  <c r="AW74" i="50"/>
  <c r="M74" i="50"/>
  <c r="U74" i="50" s="1"/>
  <c r="W74" i="50" s="1"/>
  <c r="N74" i="50"/>
  <c r="O74" i="50" s="1"/>
  <c r="T76" i="50"/>
  <c r="C76" i="50"/>
  <c r="E75" i="50"/>
  <c r="J75" i="50"/>
  <c r="R75" i="50" s="1"/>
  <c r="S75" i="50" s="1"/>
  <c r="AB75" i="50"/>
  <c r="AL75" i="50" s="1"/>
  <c r="F75" i="50"/>
  <c r="AC75" i="50"/>
  <c r="BD73" i="50"/>
  <c r="BE73" i="50" s="1"/>
  <c r="BB74" i="50" s="1"/>
  <c r="AT71" i="49"/>
  <c r="AQ72" i="49" s="1"/>
  <c r="AS72" i="49" s="1"/>
  <c r="X71" i="49"/>
  <c r="Y71" i="49" s="1"/>
  <c r="V72" i="49" s="1"/>
  <c r="BD72" i="49"/>
  <c r="K73" i="49"/>
  <c r="L73" i="49"/>
  <c r="AW73" i="49"/>
  <c r="M73" i="49"/>
  <c r="U73" i="49" s="1"/>
  <c r="W73" i="49" s="1"/>
  <c r="N73" i="49"/>
  <c r="O73" i="49" s="1"/>
  <c r="J74" i="49"/>
  <c r="R74" i="49" s="1"/>
  <c r="S74" i="49" s="1"/>
  <c r="F74" i="49"/>
  <c r="C75" i="49"/>
  <c r="E74" i="49"/>
  <c r="G74" i="49" s="1"/>
  <c r="AB74" i="49"/>
  <c r="AL74" i="49" s="1"/>
  <c r="AC74" i="49"/>
  <c r="AP72" i="49"/>
  <c r="AR72" i="49" s="1"/>
  <c r="AE72" i="49"/>
  <c r="AG72" i="49" s="1"/>
  <c r="BA72" i="49"/>
  <c r="BC72" i="49" s="1"/>
  <c r="Q75" i="49"/>
  <c r="I76" i="49"/>
  <c r="Q76" i="49" s="1"/>
  <c r="G73" i="49"/>
  <c r="O72" i="49"/>
  <c r="O74" i="53" l="1"/>
  <c r="AS74" i="53"/>
  <c r="BD74" i="53"/>
  <c r="AH74" i="53"/>
  <c r="E76" i="53"/>
  <c r="AB76" i="53"/>
  <c r="AL76" i="53" s="1"/>
  <c r="J76" i="53"/>
  <c r="R76" i="53" s="1"/>
  <c r="S76" i="53" s="1"/>
  <c r="AC76" i="53"/>
  <c r="F76" i="53"/>
  <c r="F21" i="53" s="1"/>
  <c r="G21" i="53" s="1"/>
  <c r="X73" i="53"/>
  <c r="Y73" i="53" s="1"/>
  <c r="V74" i="53" s="1"/>
  <c r="AE75" i="53"/>
  <c r="AG75" i="53" s="1"/>
  <c r="BA75" i="53"/>
  <c r="BC75" i="53" s="1"/>
  <c r="AP75" i="53"/>
  <c r="AR75" i="53" s="1"/>
  <c r="K75" i="53"/>
  <c r="AW75" i="53"/>
  <c r="M75" i="53"/>
  <c r="U75" i="53" s="1"/>
  <c r="W75" i="53" s="1"/>
  <c r="L75" i="53"/>
  <c r="N75" i="53"/>
  <c r="O75" i="53" s="1"/>
  <c r="AP74" i="53"/>
  <c r="AR74" i="53" s="1"/>
  <c r="AT74" i="53" s="1"/>
  <c r="AQ75" i="53" s="1"/>
  <c r="AE74" i="53"/>
  <c r="AG74" i="53" s="1"/>
  <c r="BA74" i="53"/>
  <c r="BC74" i="53" s="1"/>
  <c r="O75" i="52"/>
  <c r="X75" i="52"/>
  <c r="Y75" i="52"/>
  <c r="V76" i="52" s="1"/>
  <c r="AS74" i="52"/>
  <c r="AT74" i="52"/>
  <c r="AQ75" i="52" s="1"/>
  <c r="BD75" i="52"/>
  <c r="BE75" i="52" s="1"/>
  <c r="BB76" i="52" s="1"/>
  <c r="M76" i="52"/>
  <c r="U76" i="52" s="1"/>
  <c r="W76" i="52" s="1"/>
  <c r="L76" i="52"/>
  <c r="K76" i="52"/>
  <c r="BM2" i="52" s="1"/>
  <c r="AW76" i="52"/>
  <c r="N76" i="52"/>
  <c r="O76" i="52" s="1"/>
  <c r="AH75" i="52"/>
  <c r="AI75" i="52" s="1"/>
  <c r="AF76" i="52" s="1"/>
  <c r="BA76" i="52"/>
  <c r="BC76" i="52" s="1"/>
  <c r="AE76" i="52"/>
  <c r="AG76" i="52" s="1"/>
  <c r="AP76" i="52"/>
  <c r="AR76" i="52" s="1"/>
  <c r="F22" i="52"/>
  <c r="F23" i="52" s="1"/>
  <c r="L19" i="52" s="1"/>
  <c r="X19" i="52" s="1"/>
  <c r="AF19" i="52" s="1"/>
  <c r="G75" i="50"/>
  <c r="BA75" i="50" s="1"/>
  <c r="BC75" i="50" s="1"/>
  <c r="BD74" i="50"/>
  <c r="BE74" i="50" s="1"/>
  <c r="BB75" i="50" s="1"/>
  <c r="X73" i="50"/>
  <c r="Y73" i="50" s="1"/>
  <c r="V74" i="50" s="1"/>
  <c r="AH74" i="50"/>
  <c r="AI74" i="50" s="1"/>
  <c r="AF75" i="50" s="1"/>
  <c r="M75" i="50"/>
  <c r="U75" i="50" s="1"/>
  <c r="W75" i="50" s="1"/>
  <c r="L75" i="50"/>
  <c r="K75" i="50"/>
  <c r="AW75" i="50"/>
  <c r="N75" i="50"/>
  <c r="O75" i="50" s="1"/>
  <c r="AS74" i="50"/>
  <c r="AT74" i="50" s="1"/>
  <c r="AQ75" i="50" s="1"/>
  <c r="F76" i="50"/>
  <c r="F21" i="50" s="1"/>
  <c r="G21" i="50" s="1"/>
  <c r="AC76" i="50"/>
  <c r="J76" i="50"/>
  <c r="R76" i="50" s="1"/>
  <c r="S76" i="50" s="1"/>
  <c r="E76" i="50"/>
  <c r="G76" i="50" s="1"/>
  <c r="AB76" i="50"/>
  <c r="AL76" i="50" s="1"/>
  <c r="BE72" i="49"/>
  <c r="BB73" i="49" s="1"/>
  <c r="BD73" i="49" s="1"/>
  <c r="AI72" i="49"/>
  <c r="AF73" i="49" s="1"/>
  <c r="AH73" i="49" s="1"/>
  <c r="AT72" i="49"/>
  <c r="AQ73" i="49" s="1"/>
  <c r="AS73" i="49" s="1"/>
  <c r="AE74" i="49"/>
  <c r="AG74" i="49" s="1"/>
  <c r="AP74" i="49"/>
  <c r="AR74" i="49" s="1"/>
  <c r="BA74" i="49"/>
  <c r="BC74" i="49" s="1"/>
  <c r="C76" i="49"/>
  <c r="AC75" i="49"/>
  <c r="F75" i="49"/>
  <c r="E75" i="49"/>
  <c r="AB75" i="49"/>
  <c r="AL75" i="49" s="1"/>
  <c r="J75" i="49"/>
  <c r="R75" i="49" s="1"/>
  <c r="S75" i="49" s="1"/>
  <c r="BA73" i="49"/>
  <c r="BC73" i="49" s="1"/>
  <c r="AE73" i="49"/>
  <c r="AG73" i="49" s="1"/>
  <c r="AP73" i="49"/>
  <c r="AR73" i="49" s="1"/>
  <c r="AW74" i="49"/>
  <c r="L74" i="49"/>
  <c r="K74" i="49"/>
  <c r="M74" i="49"/>
  <c r="U74" i="49" s="1"/>
  <c r="W74" i="49" s="1"/>
  <c r="N74" i="49"/>
  <c r="X72" i="49"/>
  <c r="Y72" i="49" s="1"/>
  <c r="V73" i="49" s="1"/>
  <c r="G75" i="49" l="1"/>
  <c r="AI74" i="53"/>
  <c r="AF75" i="53" s="1"/>
  <c r="AH75" i="53" s="1"/>
  <c r="BE74" i="53"/>
  <c r="BB75" i="53" s="1"/>
  <c r="BD75" i="53"/>
  <c r="BE75" i="53" s="1"/>
  <c r="BB76" i="53" s="1"/>
  <c r="AS75" i="53"/>
  <c r="AT75" i="53" s="1"/>
  <c r="AQ76" i="53" s="1"/>
  <c r="X74" i="53"/>
  <c r="Y74" i="53" s="1"/>
  <c r="V75" i="53" s="1"/>
  <c r="M76" i="53"/>
  <c r="U76" i="53" s="1"/>
  <c r="W76" i="53" s="1"/>
  <c r="L76" i="53"/>
  <c r="AW76" i="53"/>
  <c r="K76" i="53"/>
  <c r="BM2" i="53" s="1"/>
  <c r="N76" i="53"/>
  <c r="G76" i="53"/>
  <c r="AH76" i="52"/>
  <c r="AI76" i="52" s="1"/>
  <c r="AF12" i="52" s="1"/>
  <c r="BD76" i="52"/>
  <c r="BE76" i="52" s="1"/>
  <c r="BB13" i="52" s="1"/>
  <c r="BB15" i="52" s="1"/>
  <c r="BM3" i="52"/>
  <c r="J19" i="52" s="1"/>
  <c r="S19" i="52" s="1"/>
  <c r="J18" i="52"/>
  <c r="S18" i="52" s="1"/>
  <c r="AS75" i="52"/>
  <c r="AT75" i="52" s="1"/>
  <c r="AQ76" i="52" s="1"/>
  <c r="X76" i="52"/>
  <c r="Y76" i="52" s="1"/>
  <c r="BM17" i="52" s="1"/>
  <c r="AE75" i="50"/>
  <c r="AG75" i="50" s="1"/>
  <c r="AP75" i="50"/>
  <c r="AR75" i="50" s="1"/>
  <c r="AS75" i="50"/>
  <c r="AH75" i="50"/>
  <c r="BD75" i="50"/>
  <c r="BE75" i="50" s="1"/>
  <c r="BB76" i="50" s="1"/>
  <c r="AE76" i="50"/>
  <c r="AG76" i="50" s="1"/>
  <c r="AP76" i="50"/>
  <c r="AR76" i="50" s="1"/>
  <c r="BA76" i="50"/>
  <c r="BC76" i="50" s="1"/>
  <c r="F22" i="50"/>
  <c r="F23" i="50" s="1"/>
  <c r="L19" i="50" s="1"/>
  <c r="X19" i="50" s="1"/>
  <c r="AF19" i="50" s="1"/>
  <c r="X74" i="50"/>
  <c r="Y74" i="50"/>
  <c r="V75" i="50" s="1"/>
  <c r="M76" i="50"/>
  <c r="U76" i="50" s="1"/>
  <c r="W76" i="50" s="1"/>
  <c r="L76" i="50"/>
  <c r="AW76" i="50"/>
  <c r="K76" i="50"/>
  <c r="BM2" i="50" s="1"/>
  <c r="N76" i="50"/>
  <c r="AI73" i="49"/>
  <c r="AF74" i="49" s="1"/>
  <c r="AH74" i="49" s="1"/>
  <c r="AT73" i="49"/>
  <c r="AQ74" i="49" s="1"/>
  <c r="BE73" i="49"/>
  <c r="BB74" i="49" s="1"/>
  <c r="AS74" i="49"/>
  <c r="AT74" i="49" s="1"/>
  <c r="AQ75" i="49" s="1"/>
  <c r="X73" i="49"/>
  <c r="Y73" i="49" s="1"/>
  <c r="V74" i="49" s="1"/>
  <c r="AP75" i="49"/>
  <c r="AR75" i="49" s="1"/>
  <c r="AE75" i="49"/>
  <c r="AG75" i="49" s="1"/>
  <c r="BA75" i="49"/>
  <c r="BC75" i="49" s="1"/>
  <c r="L75" i="49"/>
  <c r="K75" i="49"/>
  <c r="AW75" i="49"/>
  <c r="M75" i="49"/>
  <c r="U75" i="49" s="1"/>
  <c r="W75" i="49" s="1"/>
  <c r="N75" i="49"/>
  <c r="O75" i="49" s="1"/>
  <c r="J76" i="49"/>
  <c r="R76" i="49" s="1"/>
  <c r="S76" i="49" s="1"/>
  <c r="AB76" i="49"/>
  <c r="AL76" i="49" s="1"/>
  <c r="AC76" i="49"/>
  <c r="F76" i="49"/>
  <c r="F21" i="49" s="1"/>
  <c r="G21" i="49" s="1"/>
  <c r="E76" i="49"/>
  <c r="O74" i="49"/>
  <c r="BM10" i="52" a="1"/>
  <c r="BM9" i="52" a="1"/>
  <c r="O76" i="53" l="1"/>
  <c r="O76" i="50"/>
  <c r="AT75" i="50"/>
  <c r="AQ76" i="50" s="1"/>
  <c r="AS76" i="50" s="1"/>
  <c r="AT76" i="50" s="1"/>
  <c r="AF14" i="50" s="1"/>
  <c r="AI75" i="53"/>
  <c r="AF76" i="53" s="1"/>
  <c r="AH76" i="53" s="1"/>
  <c r="BD76" i="53"/>
  <c r="AS76" i="53"/>
  <c r="AE76" i="53"/>
  <c r="AG76" i="53" s="1"/>
  <c r="BA76" i="53"/>
  <c r="BC76" i="53" s="1"/>
  <c r="AP76" i="53"/>
  <c r="AR76" i="53" s="1"/>
  <c r="F22" i="53"/>
  <c r="F23" i="53" s="1"/>
  <c r="L19" i="53" s="1"/>
  <c r="X19" i="53" s="1"/>
  <c r="AF19" i="53" s="1"/>
  <c r="BM3" i="53"/>
  <c r="J19" i="53" s="1"/>
  <c r="S19" i="53" s="1"/>
  <c r="BN4" i="53"/>
  <c r="BM4" i="53" s="1"/>
  <c r="J18" i="53"/>
  <c r="S18" i="53" s="1"/>
  <c r="X75" i="53"/>
  <c r="Y75" i="53" s="1"/>
  <c r="V76" i="53" s="1"/>
  <c r="BM9" i="52"/>
  <c r="BM10" i="52"/>
  <c r="AS76" i="52"/>
  <c r="AT76" i="52" s="1"/>
  <c r="AF14" i="52" s="1"/>
  <c r="AF15" i="52" s="1"/>
  <c r="AO15" i="52"/>
  <c r="AP15" i="52" s="1"/>
  <c r="BB16" i="52"/>
  <c r="U19" i="52"/>
  <c r="BM19" i="52"/>
  <c r="BN4" i="52"/>
  <c r="BM4" i="52" s="1"/>
  <c r="AI75" i="50"/>
  <c r="AF76" i="50" s="1"/>
  <c r="AH76" i="50" s="1"/>
  <c r="AI76" i="50" s="1"/>
  <c r="AF12" i="50" s="1"/>
  <c r="BD76" i="50"/>
  <c r="BE76" i="50" s="1"/>
  <c r="BB13" i="50" s="1"/>
  <c r="BB15" i="50" s="1"/>
  <c r="J18" i="50"/>
  <c r="S18" i="50" s="1"/>
  <c r="BM3" i="50"/>
  <c r="J19" i="50" s="1"/>
  <c r="S19" i="50" s="1"/>
  <c r="BN4" i="50"/>
  <c r="BM4" i="50" s="1"/>
  <c r="X75" i="50"/>
  <c r="Y75" i="50" s="1"/>
  <c r="V76" i="50" s="1"/>
  <c r="BD74" i="49"/>
  <c r="BE74" i="49" s="1"/>
  <c r="BB75" i="49" s="1"/>
  <c r="BD75" i="49" s="1"/>
  <c r="BE75" i="49" s="1"/>
  <c r="BB76" i="49" s="1"/>
  <c r="AI74" i="49"/>
  <c r="AF75" i="49" s="1"/>
  <c r="AH75" i="49" s="1"/>
  <c r="AI75" i="49" s="1"/>
  <c r="AF76" i="49" s="1"/>
  <c r="X74" i="49"/>
  <c r="Y74" i="49" s="1"/>
  <c r="V75" i="49" s="1"/>
  <c r="L76" i="49"/>
  <c r="K76" i="49"/>
  <c r="BM2" i="49" s="1"/>
  <c r="M76" i="49"/>
  <c r="U76" i="49" s="1"/>
  <c r="W76" i="49" s="1"/>
  <c r="AW76" i="49"/>
  <c r="N76" i="49"/>
  <c r="O76" i="49" s="1"/>
  <c r="G76" i="49"/>
  <c r="AS75" i="49"/>
  <c r="AT75" i="49" s="1"/>
  <c r="AQ76" i="49" s="1"/>
  <c r="BM10" i="53" a="1"/>
  <c r="BM9" i="50" a="1"/>
  <c r="BM10" i="50" a="1"/>
  <c r="BM9" i="53" a="1"/>
  <c r="U21" i="52" l="1"/>
  <c r="AF17" i="52"/>
  <c r="AF15" i="50"/>
  <c r="AT76" i="53"/>
  <c r="AF14" i="53" s="1"/>
  <c r="BE76" i="53"/>
  <c r="BB13" i="53" s="1"/>
  <c r="BB15" i="53" s="1"/>
  <c r="AO15" i="53" s="1"/>
  <c r="AP15" i="53" s="1"/>
  <c r="AI76" i="53"/>
  <c r="AF12" i="53" s="1"/>
  <c r="BM9" i="53"/>
  <c r="BL9" i="53" s="1"/>
  <c r="BM10" i="53"/>
  <c r="BL10" i="53" s="1"/>
  <c r="X76" i="53"/>
  <c r="Y76" i="53" s="1"/>
  <c r="BM17" i="53" s="1"/>
  <c r="J20" i="53"/>
  <c r="AF20" i="52"/>
  <c r="AF18" i="52"/>
  <c r="AO14" i="52"/>
  <c r="AP14" i="52" s="1"/>
  <c r="BL10" i="52"/>
  <c r="BL9" i="52"/>
  <c r="J20" i="52"/>
  <c r="BM10" i="50"/>
  <c r="BL10" i="50" s="1"/>
  <c r="BM9" i="50"/>
  <c r="BL9" i="50" s="1"/>
  <c r="AO15" i="50"/>
  <c r="AP15" i="50" s="1"/>
  <c r="BB16" i="50"/>
  <c r="X76" i="50"/>
  <c r="Y76" i="50" s="1"/>
  <c r="BM17" i="50" s="1"/>
  <c r="J20" i="50"/>
  <c r="BD76" i="49"/>
  <c r="AS76" i="49"/>
  <c r="AH76" i="49"/>
  <c r="X75" i="49"/>
  <c r="Y75" i="49" s="1"/>
  <c r="V76" i="49" s="1"/>
  <c r="AP76" i="49"/>
  <c r="AR76" i="49" s="1"/>
  <c r="AT76" i="49" s="1"/>
  <c r="AF14" i="49" s="1"/>
  <c r="BA76" i="49"/>
  <c r="BC76" i="49" s="1"/>
  <c r="BE76" i="49" s="1"/>
  <c r="BB13" i="49" s="1"/>
  <c r="BB15" i="49" s="1"/>
  <c r="AE76" i="49"/>
  <c r="AG76" i="49" s="1"/>
  <c r="AI76" i="49" s="1"/>
  <c r="AF12" i="49" s="1"/>
  <c r="F22" i="49"/>
  <c r="F23" i="49" s="1"/>
  <c r="L19" i="49" s="1"/>
  <c r="X19" i="49" s="1"/>
  <c r="AF19" i="49" s="1"/>
  <c r="BM3" i="49"/>
  <c r="J19" i="49" s="1"/>
  <c r="S19" i="49" s="1"/>
  <c r="J18" i="49"/>
  <c r="S18" i="49" s="1"/>
  <c r="BM9" i="49" a="1"/>
  <c r="BM10" i="49" a="1"/>
  <c r="AF15" i="53" l="1"/>
  <c r="AF17" i="50"/>
  <c r="BB16" i="53"/>
  <c r="BM19" i="53"/>
  <c r="U19" i="53"/>
  <c r="S20" i="53"/>
  <c r="U18" i="53" s="1"/>
  <c r="L18" i="53"/>
  <c r="S20" i="52"/>
  <c r="U18" i="52" s="1"/>
  <c r="L18" i="52"/>
  <c r="U19" i="50"/>
  <c r="BM19" i="50"/>
  <c r="S20" i="50"/>
  <c r="U18" i="50" s="1"/>
  <c r="L18" i="50"/>
  <c r="AF15" i="49"/>
  <c r="BM10" i="49"/>
  <c r="BM9" i="49"/>
  <c r="X76" i="49"/>
  <c r="Y76" i="49" s="1"/>
  <c r="BM17" i="49" s="1"/>
  <c r="BB16" i="49"/>
  <c r="AO15" i="49"/>
  <c r="AP15" i="49" s="1"/>
  <c r="BN4" i="49"/>
  <c r="BM4" i="49" s="1"/>
  <c r="AF17" i="53" l="1"/>
  <c r="U21" i="53"/>
  <c r="U22" i="52"/>
  <c r="AF20" i="50"/>
  <c r="AF18" i="50"/>
  <c r="AO14" i="50"/>
  <c r="AP14" i="50" s="1"/>
  <c r="U21" i="50"/>
  <c r="U22" i="50" s="1"/>
  <c r="AF17" i="49"/>
  <c r="AO14" i="49" s="1"/>
  <c r="AP14" i="49" s="1"/>
  <c r="L20" i="53"/>
  <c r="AO12" i="53"/>
  <c r="AP12" i="53" s="1"/>
  <c r="U22" i="53"/>
  <c r="L20" i="52"/>
  <c r="AO12" i="52"/>
  <c r="AP12" i="52" s="1"/>
  <c r="AO12" i="50"/>
  <c r="AP12" i="50" s="1"/>
  <c r="L20" i="50"/>
  <c r="AF20" i="49"/>
  <c r="U19" i="49"/>
  <c r="BM19" i="49"/>
  <c r="BL10" i="49"/>
  <c r="J20" i="49"/>
  <c r="BL9" i="49"/>
  <c r="AF20" i="53" l="1"/>
  <c r="AF18" i="53"/>
  <c r="AO14" i="53"/>
  <c r="AP14" i="53" s="1"/>
  <c r="X20" i="52"/>
  <c r="AO13" i="52"/>
  <c r="AP13" i="52" s="1"/>
  <c r="X18" i="52"/>
  <c r="U21" i="49"/>
  <c r="AF18" i="49"/>
  <c r="X20" i="53"/>
  <c r="AO13" i="53"/>
  <c r="AP13" i="53" s="1"/>
  <c r="X18" i="53"/>
  <c r="X18" i="50"/>
  <c r="X20" i="50"/>
  <c r="AO13" i="50"/>
  <c r="AP13" i="50" s="1"/>
  <c r="S20" i="49"/>
  <c r="U18" i="49" s="1"/>
  <c r="L18" i="49"/>
  <c r="U22" i="49" l="1"/>
  <c r="L20" i="49"/>
  <c r="AO12" i="49"/>
  <c r="AP12" i="49" s="1"/>
  <c r="AO13" i="49" l="1"/>
  <c r="AP13" i="49" s="1"/>
  <c r="X20" i="49"/>
  <c r="X18" i="49"/>
  <c r="X28" i="47"/>
  <c r="F5" i="47"/>
  <c r="D29" i="47"/>
  <c r="D30" i="47" s="1"/>
  <c r="B93" i="47"/>
  <c r="AZ76" i="47"/>
  <c r="AY76" i="47"/>
  <c r="AO76" i="47"/>
  <c r="AN76" i="47"/>
  <c r="AZ75" i="47"/>
  <c r="AY75" i="47"/>
  <c r="AO75" i="47"/>
  <c r="AN75" i="47"/>
  <c r="AZ74" i="47"/>
  <c r="AY74" i="47"/>
  <c r="AO74" i="47"/>
  <c r="AN74" i="47"/>
  <c r="AZ73" i="47"/>
  <c r="AY73" i="47"/>
  <c r="AO73" i="47"/>
  <c r="AN73" i="47"/>
  <c r="AZ72" i="47"/>
  <c r="AY72" i="47"/>
  <c r="AO72" i="47"/>
  <c r="AN72" i="47"/>
  <c r="AZ71" i="47"/>
  <c r="AY71" i="47"/>
  <c r="AO71" i="47"/>
  <c r="AN71" i="47"/>
  <c r="AZ70" i="47"/>
  <c r="AY70" i="47"/>
  <c r="AO70" i="47"/>
  <c r="AN70" i="47"/>
  <c r="AZ69" i="47"/>
  <c r="AY69" i="47"/>
  <c r="AO69" i="47"/>
  <c r="AN69" i="47"/>
  <c r="AZ68" i="47"/>
  <c r="AY68" i="47"/>
  <c r="AO68" i="47"/>
  <c r="AN68" i="47"/>
  <c r="AZ67" i="47"/>
  <c r="AY67" i="47"/>
  <c r="AO67" i="47"/>
  <c r="AN67" i="47"/>
  <c r="AZ66" i="47"/>
  <c r="AY66" i="47"/>
  <c r="AO66" i="47"/>
  <c r="AN66" i="47"/>
  <c r="AZ65" i="47"/>
  <c r="AY65" i="47"/>
  <c r="AZ64" i="47"/>
  <c r="AY64" i="47"/>
  <c r="AZ63" i="47"/>
  <c r="AY63" i="47"/>
  <c r="AZ62" i="47"/>
  <c r="AY62" i="47"/>
  <c r="AZ61" i="47"/>
  <c r="AY61" i="47"/>
  <c r="AZ60" i="47"/>
  <c r="AY60" i="47"/>
  <c r="AZ59" i="47"/>
  <c r="AY59" i="47"/>
  <c r="AZ58" i="47"/>
  <c r="AY58" i="47"/>
  <c r="AZ57" i="47"/>
  <c r="AY57" i="47"/>
  <c r="AZ56" i="47"/>
  <c r="AY56" i="47"/>
  <c r="AZ55" i="47"/>
  <c r="AY55" i="47"/>
  <c r="AZ54" i="47"/>
  <c r="AY54" i="47"/>
  <c r="AZ53" i="47"/>
  <c r="AY53" i="47"/>
  <c r="AZ52" i="47"/>
  <c r="AY52" i="47"/>
  <c r="AZ51" i="47"/>
  <c r="AY51" i="47"/>
  <c r="AZ50" i="47"/>
  <c r="AY50" i="47"/>
  <c r="AZ49" i="47"/>
  <c r="AY49" i="47"/>
  <c r="AZ48" i="47"/>
  <c r="AY48" i="47"/>
  <c r="AZ47" i="47"/>
  <c r="AY47" i="47"/>
  <c r="AZ46" i="47"/>
  <c r="AY46" i="47"/>
  <c r="AZ45" i="47"/>
  <c r="AY45" i="47"/>
  <c r="AZ44" i="47"/>
  <c r="AY44" i="47"/>
  <c r="AZ43" i="47"/>
  <c r="AY43" i="47"/>
  <c r="AZ42" i="47"/>
  <c r="AY42" i="47"/>
  <c r="AZ41" i="47"/>
  <c r="AY41" i="47"/>
  <c r="AZ40" i="47"/>
  <c r="AY40" i="47"/>
  <c r="AZ39" i="47"/>
  <c r="AY39" i="47"/>
  <c r="AZ38" i="47"/>
  <c r="AY38" i="47"/>
  <c r="AZ37" i="47"/>
  <c r="AY37" i="47"/>
  <c r="AZ36" i="47"/>
  <c r="AY36" i="47"/>
  <c r="AZ35" i="47"/>
  <c r="AY35" i="47"/>
  <c r="AZ34" i="47"/>
  <c r="AY34" i="47"/>
  <c r="AZ33" i="47"/>
  <c r="AY33" i="47"/>
  <c r="AZ32" i="47"/>
  <c r="AY32" i="47"/>
  <c r="AZ31" i="47"/>
  <c r="AY31" i="47"/>
  <c r="AZ30" i="47"/>
  <c r="AY30" i="47"/>
  <c r="AA30" i="47"/>
  <c r="AK30" i="47" s="1"/>
  <c r="AV30" i="47" s="1"/>
  <c r="B30" i="47"/>
  <c r="AZ29" i="47"/>
  <c r="AY29" i="47"/>
  <c r="AA29" i="47"/>
  <c r="AK29" i="47" s="1"/>
  <c r="AV29" i="47" s="1"/>
  <c r="T29" i="47"/>
  <c r="T30" i="47" s="1"/>
  <c r="Q29" i="47"/>
  <c r="B29" i="47"/>
  <c r="BB28" i="47"/>
  <c r="AZ28" i="47"/>
  <c r="AY28" i="47"/>
  <c r="AV28" i="47"/>
  <c r="AQ28" i="47"/>
  <c r="AF28" i="47"/>
  <c r="AD28" i="47"/>
  <c r="AD29" i="47" s="1"/>
  <c r="AA28" i="47"/>
  <c r="AK28" i="47" s="1"/>
  <c r="V28" i="47"/>
  <c r="T28" i="47"/>
  <c r="Q28" i="47"/>
  <c r="I28" i="47"/>
  <c r="I29" i="47" s="1"/>
  <c r="I30" i="47" s="1"/>
  <c r="C28" i="47"/>
  <c r="Y19" i="47"/>
  <c r="AF11" i="47"/>
  <c r="AF16" i="47" s="1"/>
  <c r="AF13" i="47"/>
  <c r="AM28" i="47" l="1"/>
  <c r="AO28" i="47" s="1"/>
  <c r="E28" i="47"/>
  <c r="F28" i="47"/>
  <c r="AN28" i="47"/>
  <c r="J28" i="47"/>
  <c r="R28" i="47" s="1"/>
  <c r="S28" i="47" s="1"/>
  <c r="AB28" i="47"/>
  <c r="AL28" i="47" s="1"/>
  <c r="AW28" i="47" s="1"/>
  <c r="AC28" i="47"/>
  <c r="D31" i="47"/>
  <c r="BM18" i="47"/>
  <c r="U20" i="47" s="1"/>
  <c r="BB14" i="47"/>
  <c r="T31" i="47"/>
  <c r="F7" i="47"/>
  <c r="AS28" i="47"/>
  <c r="I31" i="47"/>
  <c r="Q30" i="47"/>
  <c r="BD28" i="47"/>
  <c r="AD30" i="47"/>
  <c r="B31" i="47"/>
  <c r="C29" i="47"/>
  <c r="AH28" i="47"/>
  <c r="G28" i="47" l="1"/>
  <c r="AP28" i="47" s="1"/>
  <c r="AR28" i="47" s="1"/>
  <c r="AT28" i="47" s="1"/>
  <c r="AQ29" i="47" s="1"/>
  <c r="AS29" i="47" s="1"/>
  <c r="K28" i="47"/>
  <c r="L28" i="47"/>
  <c r="F29" i="47"/>
  <c r="E29" i="47"/>
  <c r="D32" i="47"/>
  <c r="T32" i="47"/>
  <c r="J29" i="47"/>
  <c r="R29" i="47" s="1"/>
  <c r="C30" i="47"/>
  <c r="AC29" i="47"/>
  <c r="AB29" i="47"/>
  <c r="AM29" i="47"/>
  <c r="B32" i="47"/>
  <c r="AA31" i="47"/>
  <c r="AK31" i="47" s="1"/>
  <c r="AV31" i="47" s="1"/>
  <c r="AD31" i="47"/>
  <c r="I32" i="47"/>
  <c r="Q31" i="47"/>
  <c r="A29" i="15"/>
  <c r="A30" i="15"/>
  <c r="A31" i="15"/>
  <c r="A32" i="15"/>
  <c r="A28" i="15"/>
  <c r="C30" i="15"/>
  <c r="C31" i="15"/>
  <c r="C32" i="15"/>
  <c r="C29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 s="1"/>
  <c r="C11" i="15" s="1"/>
  <c r="C10" i="15" s="1"/>
  <c r="C9" i="15" s="1"/>
  <c r="C8" i="15" s="1"/>
  <c r="C7" i="15" s="1"/>
  <c r="C6" i="15" s="1"/>
  <c r="C26" i="15"/>
  <c r="A25" i="15"/>
  <c r="A24" i="15"/>
  <c r="A23" i="15"/>
  <c r="A22" i="15"/>
  <c r="A21" i="15"/>
  <c r="A20" i="15"/>
  <c r="A19" i="15"/>
  <c r="A18" i="15"/>
  <c r="A17" i="15" s="1"/>
  <c r="A16" i="15" s="1"/>
  <c r="A15" i="15" s="1"/>
  <c r="A14" i="15" s="1"/>
  <c r="A13" i="15" s="1"/>
  <c r="A12" i="15" s="1"/>
  <c r="A11" i="15" s="1"/>
  <c r="A10" i="15" s="1"/>
  <c r="A9" i="15" s="1"/>
  <c r="A8" i="15" s="1"/>
  <c r="A7" i="15" s="1"/>
  <c r="A6" i="15" s="1"/>
  <c r="A26" i="15"/>
  <c r="N28" i="47" l="1"/>
  <c r="O28" i="47" s="1"/>
  <c r="BA28" i="47"/>
  <c r="BC28" i="47" s="1"/>
  <c r="BE28" i="47" s="1"/>
  <c r="BB29" i="47" s="1"/>
  <c r="BD29" i="47" s="1"/>
  <c r="AE28" i="47"/>
  <c r="AG28" i="47" s="1"/>
  <c r="AI28" i="47" s="1"/>
  <c r="AF29" i="47" s="1"/>
  <c r="AH29" i="47" s="1"/>
  <c r="M28" i="47"/>
  <c r="U28" i="47" s="1"/>
  <c r="W28" i="47" s="1"/>
  <c r="F30" i="47"/>
  <c r="E30" i="47"/>
  <c r="D33" i="47"/>
  <c r="T33" i="47"/>
  <c r="AD32" i="47"/>
  <c r="AL29" i="47"/>
  <c r="C31" i="47"/>
  <c r="AC30" i="47"/>
  <c r="AB30" i="47"/>
  <c r="AL30" i="47" s="1"/>
  <c r="J30" i="47"/>
  <c r="R30" i="47" s="1"/>
  <c r="S30" i="47" s="1"/>
  <c r="AM30" i="47"/>
  <c r="S29" i="47"/>
  <c r="I33" i="47"/>
  <c r="Q32" i="47"/>
  <c r="B33" i="47"/>
  <c r="AA32" i="47"/>
  <c r="AK32" i="47" s="1"/>
  <c r="AV32" i="47" s="1"/>
  <c r="AO29" i="47"/>
  <c r="AN29" i="47"/>
  <c r="Y28" i="47" l="1"/>
  <c r="V29" i="47" s="1"/>
  <c r="X29" i="47" s="1"/>
  <c r="E31" i="47"/>
  <c r="F31" i="47"/>
  <c r="D34" i="47"/>
  <c r="AW29" i="47"/>
  <c r="AD33" i="47"/>
  <c r="B34" i="47"/>
  <c r="AA33" i="47"/>
  <c r="AK33" i="47" s="1"/>
  <c r="AV33" i="47" s="1"/>
  <c r="I34" i="47"/>
  <c r="Q33" i="47"/>
  <c r="AO30" i="47"/>
  <c r="AN30" i="47"/>
  <c r="AW30" i="47"/>
  <c r="T34" i="47"/>
  <c r="AM31" i="47"/>
  <c r="C32" i="47"/>
  <c r="AC31" i="47"/>
  <c r="AB31" i="47"/>
  <c r="J31" i="47"/>
  <c r="R31" i="47" s="1"/>
  <c r="E32" i="47" l="1"/>
  <c r="F32" i="47"/>
  <c r="D35" i="47"/>
  <c r="AO31" i="47"/>
  <c r="AN31" i="47"/>
  <c r="I35" i="47"/>
  <c r="Q34" i="47"/>
  <c r="T35" i="47"/>
  <c r="B35" i="47"/>
  <c r="AA34" i="47"/>
  <c r="AK34" i="47" s="1"/>
  <c r="AV34" i="47" s="1"/>
  <c r="AD34" i="47"/>
  <c r="S31" i="47"/>
  <c r="AL31" i="47"/>
  <c r="J32" i="47"/>
  <c r="R32" i="47" s="1"/>
  <c r="S32" i="47" s="1"/>
  <c r="C33" i="47"/>
  <c r="AC32" i="47"/>
  <c r="AB32" i="47"/>
  <c r="AL32" i="47" s="1"/>
  <c r="AM32" i="47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G72" i="36"/>
  <c r="G73" i="36" s="1"/>
  <c r="M71" i="36"/>
  <c r="E71" i="36"/>
  <c r="E72" i="36" s="1"/>
  <c r="E73" i="36" s="1"/>
  <c r="E74" i="36" s="1"/>
  <c r="E75" i="36" s="1"/>
  <c r="E76" i="36" s="1"/>
  <c r="E77" i="36" s="1"/>
  <c r="M70" i="36"/>
  <c r="E70" i="36"/>
  <c r="M69" i="36"/>
  <c r="E69" i="36"/>
  <c r="M68" i="36"/>
  <c r="E68" i="36"/>
  <c r="M67" i="36"/>
  <c r="E67" i="36"/>
  <c r="M66" i="36"/>
  <c r="E66" i="36"/>
  <c r="M65" i="36"/>
  <c r="E65" i="36"/>
  <c r="M64" i="36"/>
  <c r="E64" i="36"/>
  <c r="M63" i="36"/>
  <c r="E63" i="36"/>
  <c r="M62" i="36"/>
  <c r="E62" i="36"/>
  <c r="M61" i="36"/>
  <c r="E61" i="36"/>
  <c r="M60" i="36"/>
  <c r="E60" i="36"/>
  <c r="M59" i="36"/>
  <c r="E59" i="36"/>
  <c r="M58" i="36"/>
  <c r="E58" i="36"/>
  <c r="M57" i="36"/>
  <c r="E57" i="36"/>
  <c r="M56" i="36"/>
  <c r="E56" i="36"/>
  <c r="M55" i="36"/>
  <c r="E55" i="36"/>
  <c r="M54" i="36"/>
  <c r="M53" i="36"/>
  <c r="E53" i="36"/>
  <c r="M52" i="36"/>
  <c r="E52" i="36"/>
  <c r="M51" i="36"/>
  <c r="E51" i="36"/>
  <c r="M50" i="36"/>
  <c r="E50" i="36"/>
  <c r="M49" i="36"/>
  <c r="E49" i="36"/>
  <c r="M48" i="36"/>
  <c r="E48" i="36"/>
  <c r="M47" i="36"/>
  <c r="E47" i="36"/>
  <c r="M46" i="36"/>
  <c r="E46" i="36"/>
  <c r="M45" i="36"/>
  <c r="E45" i="36"/>
  <c r="M44" i="36"/>
  <c r="E44" i="36"/>
  <c r="M43" i="36"/>
  <c r="E43" i="36"/>
  <c r="M42" i="36"/>
  <c r="E42" i="36"/>
  <c r="M41" i="36"/>
  <c r="E41" i="36"/>
  <c r="M40" i="36"/>
  <c r="E40" i="36"/>
  <c r="M39" i="36"/>
  <c r="E39" i="36"/>
  <c r="M38" i="36"/>
  <c r="E38" i="36"/>
  <c r="M37" i="36"/>
  <c r="E37" i="36"/>
  <c r="M36" i="36"/>
  <c r="E36" i="36"/>
  <c r="M35" i="36"/>
  <c r="E35" i="36"/>
  <c r="M34" i="36"/>
  <c r="E34" i="36"/>
  <c r="M33" i="36"/>
  <c r="E33" i="36"/>
  <c r="M32" i="36"/>
  <c r="E32" i="36"/>
  <c r="AH31" i="36"/>
  <c r="AH32" i="36" s="1"/>
  <c r="AH33" i="36" s="1"/>
  <c r="AH34" i="36" s="1"/>
  <c r="AH35" i="36" s="1"/>
  <c r="AH36" i="36" s="1"/>
  <c r="AH37" i="36" s="1"/>
  <c r="AH38" i="36" s="1"/>
  <c r="AH39" i="36" s="1"/>
  <c r="AH40" i="36" s="1"/>
  <c r="AH41" i="36" s="1"/>
  <c r="AH42" i="36" s="1"/>
  <c r="AH43" i="36" s="1"/>
  <c r="AH44" i="36" s="1"/>
  <c r="AH45" i="36" s="1"/>
  <c r="AH46" i="36" s="1"/>
  <c r="AH47" i="36" s="1"/>
  <c r="AH48" i="36" s="1"/>
  <c r="AH49" i="36" s="1"/>
  <c r="AH50" i="36" s="1"/>
  <c r="AH51" i="36" s="1"/>
  <c r="AH52" i="36" s="1"/>
  <c r="AH53" i="36" s="1"/>
  <c r="AH54" i="36" s="1"/>
  <c r="AH55" i="36" s="1"/>
  <c r="AH56" i="36" s="1"/>
  <c r="AH57" i="36" s="1"/>
  <c r="AH58" i="36" s="1"/>
  <c r="AH59" i="36" s="1"/>
  <c r="AH60" i="36" s="1"/>
  <c r="AH61" i="36" s="1"/>
  <c r="AH62" i="36" s="1"/>
  <c r="AH63" i="36" s="1"/>
  <c r="AH64" i="36" s="1"/>
  <c r="AH65" i="36" s="1"/>
  <c r="AH66" i="36" s="1"/>
  <c r="AH67" i="36" s="1"/>
  <c r="AH68" i="36" s="1"/>
  <c r="AH69" i="36" s="1"/>
  <c r="AH70" i="36" s="1"/>
  <c r="AH71" i="36" s="1"/>
  <c r="AH72" i="36" s="1"/>
  <c r="AH73" i="36" s="1"/>
  <c r="AH74" i="36" s="1"/>
  <c r="AH75" i="36" s="1"/>
  <c r="AH76" i="36" s="1"/>
  <c r="AH77" i="36" s="1"/>
  <c r="M31" i="36"/>
  <c r="E31" i="36"/>
  <c r="D31" i="36"/>
  <c r="D32" i="36" s="1"/>
  <c r="D33" i="36" s="1"/>
  <c r="D34" i="36" s="1"/>
  <c r="D35" i="36" s="1"/>
  <c r="D36" i="36" s="1"/>
  <c r="D37" i="36" s="1"/>
  <c r="D38" i="36" s="1"/>
  <c r="D39" i="36" s="1"/>
  <c r="D40" i="36" s="1"/>
  <c r="D41" i="36" s="1"/>
  <c r="D42" i="36" s="1"/>
  <c r="D43" i="36" s="1"/>
  <c r="D44" i="36" s="1"/>
  <c r="D45" i="36" s="1"/>
  <c r="D46" i="36" s="1"/>
  <c r="D47" i="36" s="1"/>
  <c r="D48" i="36" s="1"/>
  <c r="D49" i="36" s="1"/>
  <c r="D50" i="36" s="1"/>
  <c r="D51" i="36" s="1"/>
  <c r="D52" i="36" s="1"/>
  <c r="D53" i="36" s="1"/>
  <c r="D54" i="36" s="1"/>
  <c r="AH30" i="36"/>
  <c r="M30" i="36"/>
  <c r="E30" i="36"/>
  <c r="D30" i="36"/>
  <c r="X29" i="36"/>
  <c r="N29" i="36"/>
  <c r="P29" i="36" s="1"/>
  <c r="M29" i="36"/>
  <c r="L29" i="36"/>
  <c r="L30" i="36" s="1"/>
  <c r="E29" i="36"/>
  <c r="B29" i="36"/>
  <c r="I29" i="36" s="1"/>
  <c r="S29" i="36" s="1"/>
  <c r="X12" i="36"/>
  <c r="AI29" i="36" s="1"/>
  <c r="AI30" i="36" s="1"/>
  <c r="AI31" i="36" s="1"/>
  <c r="AI32" i="36" s="1"/>
  <c r="AI33" i="36" s="1"/>
  <c r="AI34" i="36" s="1"/>
  <c r="AI35" i="36" s="1"/>
  <c r="AI36" i="36" s="1"/>
  <c r="AI37" i="36" s="1"/>
  <c r="AI38" i="36" s="1"/>
  <c r="AI39" i="36" s="1"/>
  <c r="AI40" i="36" s="1"/>
  <c r="AI41" i="36" s="1"/>
  <c r="AI42" i="36" s="1"/>
  <c r="AI43" i="36" s="1"/>
  <c r="AI44" i="36" s="1"/>
  <c r="AI45" i="36" s="1"/>
  <c r="AI46" i="36" s="1"/>
  <c r="AI47" i="36" s="1"/>
  <c r="AI48" i="36" s="1"/>
  <c r="AI49" i="36" s="1"/>
  <c r="AI50" i="36" s="1"/>
  <c r="AI51" i="36" s="1"/>
  <c r="AI52" i="36" s="1"/>
  <c r="AI53" i="36" s="1"/>
  <c r="AI54" i="36" s="1"/>
  <c r="AI55" i="36" s="1"/>
  <c r="AI56" i="36" s="1"/>
  <c r="AI57" i="36" s="1"/>
  <c r="AI58" i="36" s="1"/>
  <c r="AI59" i="36" s="1"/>
  <c r="AI60" i="36" s="1"/>
  <c r="AI61" i="36" s="1"/>
  <c r="AI62" i="36" s="1"/>
  <c r="AI63" i="36" s="1"/>
  <c r="AI64" i="36" s="1"/>
  <c r="AI65" i="36" s="1"/>
  <c r="AI66" i="36" s="1"/>
  <c r="AI67" i="36" s="1"/>
  <c r="AI68" i="36" s="1"/>
  <c r="AI69" i="36" s="1"/>
  <c r="AI70" i="36" s="1"/>
  <c r="AI71" i="36" s="1"/>
  <c r="AI72" i="36" s="1"/>
  <c r="AI73" i="36" s="1"/>
  <c r="AI74" i="36" s="1"/>
  <c r="AI75" i="36" s="1"/>
  <c r="AI76" i="36" s="1"/>
  <c r="AI77" i="36" s="1"/>
  <c r="B7" i="36"/>
  <c r="B6" i="36"/>
  <c r="C29" i="36" s="1"/>
  <c r="G32" i="47" l="1"/>
  <c r="BA32" i="47" s="1"/>
  <c r="BC32" i="47" s="1"/>
  <c r="E33" i="47"/>
  <c r="F33" i="47"/>
  <c r="D36" i="47"/>
  <c r="AD35" i="47"/>
  <c r="AO32" i="47"/>
  <c r="AN32" i="47"/>
  <c r="L32" i="47"/>
  <c r="K32" i="47"/>
  <c r="AW32" i="47"/>
  <c r="AW31" i="47"/>
  <c r="B36" i="47"/>
  <c r="AA35" i="47"/>
  <c r="AK35" i="47" s="1"/>
  <c r="AV35" i="47" s="1"/>
  <c r="C34" i="47"/>
  <c r="AC33" i="47"/>
  <c r="AB33" i="47"/>
  <c r="J33" i="47"/>
  <c r="R33" i="47" s="1"/>
  <c r="AM33" i="47"/>
  <c r="T36" i="47"/>
  <c r="I36" i="47"/>
  <c r="Q35" i="47"/>
  <c r="U29" i="36"/>
  <c r="Z29" i="36" s="1"/>
  <c r="AA29" i="36" s="1"/>
  <c r="X30" i="36" s="1"/>
  <c r="B30" i="36"/>
  <c r="I30" i="36" s="1"/>
  <c r="S30" i="36" s="1"/>
  <c r="L31" i="36"/>
  <c r="D55" i="36"/>
  <c r="D56" i="36" s="1"/>
  <c r="D57" i="36" s="1"/>
  <c r="D58" i="36" s="1"/>
  <c r="D59" i="36" s="1"/>
  <c r="D60" i="36" s="1"/>
  <c r="D61" i="36" s="1"/>
  <c r="D62" i="36" s="1"/>
  <c r="D63" i="36" s="1"/>
  <c r="D64" i="36" s="1"/>
  <c r="D65" i="36" s="1"/>
  <c r="D66" i="36" s="1"/>
  <c r="D67" i="36" s="1"/>
  <c r="D68" i="36" s="1"/>
  <c r="D69" i="36" s="1"/>
  <c r="D70" i="36" s="1"/>
  <c r="D71" i="36" s="1"/>
  <c r="D72" i="36" s="1"/>
  <c r="D73" i="36" s="1"/>
  <c r="D74" i="36" s="1"/>
  <c r="D75" i="36" s="1"/>
  <c r="D76" i="36" s="1"/>
  <c r="D77" i="36" s="1"/>
  <c r="E54" i="36"/>
  <c r="W29" i="36"/>
  <c r="V29" i="36"/>
  <c r="Y29" i="36" s="1"/>
  <c r="X17" i="36"/>
  <c r="X14" i="36"/>
  <c r="AD29" i="36"/>
  <c r="C30" i="36"/>
  <c r="K29" i="36"/>
  <c r="O29" i="36" s="1"/>
  <c r="Q29" i="36" s="1"/>
  <c r="N30" i="36" s="1"/>
  <c r="J29" i="36"/>
  <c r="T29" i="36" s="1"/>
  <c r="AC29" i="36"/>
  <c r="AC30" i="36" s="1"/>
  <c r="AC31" i="36" s="1"/>
  <c r="AC32" i="36" s="1"/>
  <c r="AC33" i="36" s="1"/>
  <c r="AC34" i="36" s="1"/>
  <c r="AC35" i="36" s="1"/>
  <c r="AC36" i="36" s="1"/>
  <c r="AC37" i="36" s="1"/>
  <c r="AC38" i="36" s="1"/>
  <c r="AC39" i="36" s="1"/>
  <c r="AC40" i="36" s="1"/>
  <c r="AC41" i="36" s="1"/>
  <c r="AC42" i="36" s="1"/>
  <c r="AC43" i="36" s="1"/>
  <c r="AC44" i="36" s="1"/>
  <c r="AC45" i="36" s="1"/>
  <c r="AC46" i="36" s="1"/>
  <c r="AC47" i="36" s="1"/>
  <c r="AC48" i="36" s="1"/>
  <c r="AC49" i="36" s="1"/>
  <c r="AC50" i="36" s="1"/>
  <c r="AC51" i="36" s="1"/>
  <c r="AC52" i="36" s="1"/>
  <c r="AC53" i="36" s="1"/>
  <c r="AC54" i="36" s="1"/>
  <c r="AC55" i="36" s="1"/>
  <c r="AC56" i="36" s="1"/>
  <c r="AC57" i="36" s="1"/>
  <c r="AC58" i="36" s="1"/>
  <c r="AC59" i="36" s="1"/>
  <c r="AC60" i="36" s="1"/>
  <c r="AC61" i="36" s="1"/>
  <c r="AC62" i="36" s="1"/>
  <c r="AC63" i="36" s="1"/>
  <c r="AC64" i="36" s="1"/>
  <c r="AC65" i="36" s="1"/>
  <c r="AC66" i="36" s="1"/>
  <c r="AC67" i="36" s="1"/>
  <c r="AC68" i="36" s="1"/>
  <c r="AC69" i="36" s="1"/>
  <c r="AC70" i="36" s="1"/>
  <c r="AC71" i="36" s="1"/>
  <c r="AC72" i="36" s="1"/>
  <c r="AC73" i="36" s="1"/>
  <c r="AC74" i="36" s="1"/>
  <c r="AC75" i="36" s="1"/>
  <c r="AC76" i="36" s="1"/>
  <c r="AC77" i="36" s="1"/>
  <c r="G74" i="36"/>
  <c r="M73" i="36"/>
  <c r="M72" i="36"/>
  <c r="N32" i="47" l="1"/>
  <c r="O32" i="47" s="1"/>
  <c r="M32" i="47"/>
  <c r="U32" i="47" s="1"/>
  <c r="W32" i="47" s="1"/>
  <c r="AE32" i="47"/>
  <c r="AG32" i="47" s="1"/>
  <c r="AP32" i="47"/>
  <c r="E34" i="47"/>
  <c r="F34" i="47"/>
  <c r="G33" i="47"/>
  <c r="D37" i="47"/>
  <c r="S33" i="47"/>
  <c r="AL33" i="47"/>
  <c r="AD36" i="47"/>
  <c r="AM34" i="47"/>
  <c r="C35" i="47"/>
  <c r="AC34" i="47"/>
  <c r="AB34" i="47"/>
  <c r="AL34" i="47" s="1"/>
  <c r="J34" i="47"/>
  <c r="R34" i="47" s="1"/>
  <c r="S34" i="47" s="1"/>
  <c r="B37" i="47"/>
  <c r="AA36" i="47"/>
  <c r="AK36" i="47" s="1"/>
  <c r="AV36" i="47" s="1"/>
  <c r="Q36" i="47"/>
  <c r="I37" i="47"/>
  <c r="T37" i="47"/>
  <c r="AO33" i="47"/>
  <c r="AN33" i="47"/>
  <c r="AR32" i="47"/>
  <c r="B31" i="36"/>
  <c r="AD30" i="36"/>
  <c r="C31" i="36"/>
  <c r="J30" i="36"/>
  <c r="U30" i="36"/>
  <c r="K30" i="36"/>
  <c r="O30" i="36" s="1"/>
  <c r="P30" i="36"/>
  <c r="Q30" i="36"/>
  <c r="N31" i="36" s="1"/>
  <c r="G75" i="36"/>
  <c r="M74" i="36"/>
  <c r="B32" i="36"/>
  <c r="I31" i="36"/>
  <c r="S31" i="36" s="1"/>
  <c r="AF29" i="36"/>
  <c r="AE29" i="36"/>
  <c r="L32" i="36"/>
  <c r="G34" i="47" l="1"/>
  <c r="N34" i="47" s="1"/>
  <c r="AP33" i="47"/>
  <c r="AR33" i="47" s="1"/>
  <c r="AE33" i="47"/>
  <c r="AG33" i="47" s="1"/>
  <c r="BA33" i="47"/>
  <c r="BC33" i="47" s="1"/>
  <c r="E35" i="47"/>
  <c r="F35" i="47"/>
  <c r="D38" i="47"/>
  <c r="AA37" i="47"/>
  <c r="AK37" i="47" s="1"/>
  <c r="AV37" i="47" s="1"/>
  <c r="B38" i="47"/>
  <c r="K34" i="47"/>
  <c r="AW34" i="47"/>
  <c r="L34" i="47"/>
  <c r="C36" i="47"/>
  <c r="AC35" i="47"/>
  <c r="AB35" i="47"/>
  <c r="AL35" i="47" s="1"/>
  <c r="AM35" i="47"/>
  <c r="J35" i="47"/>
  <c r="R35" i="47" s="1"/>
  <c r="S35" i="47" s="1"/>
  <c r="AN34" i="47"/>
  <c r="AO34" i="47"/>
  <c r="AD37" i="47"/>
  <c r="L33" i="47"/>
  <c r="K33" i="47"/>
  <c r="AW33" i="47"/>
  <c r="N33" i="47"/>
  <c r="T38" i="47"/>
  <c r="Q37" i="47"/>
  <c r="I38" i="47"/>
  <c r="L33" i="36"/>
  <c r="M75" i="36"/>
  <c r="G76" i="36"/>
  <c r="T30" i="36"/>
  <c r="P31" i="36"/>
  <c r="V30" i="36"/>
  <c r="Y30" i="36" s="1"/>
  <c r="W30" i="36"/>
  <c r="K31" i="36"/>
  <c r="O31" i="36" s="1"/>
  <c r="Q31" i="36" s="1"/>
  <c r="N32" i="36" s="1"/>
  <c r="J31" i="36"/>
  <c r="T31" i="36" s="1"/>
  <c r="U31" i="36"/>
  <c r="AD31" i="36"/>
  <c r="C32" i="36"/>
  <c r="B33" i="36"/>
  <c r="I32" i="36"/>
  <c r="S32" i="36" s="1"/>
  <c r="Z30" i="36"/>
  <c r="O33" i="47" l="1"/>
  <c r="G35" i="47"/>
  <c r="N35" i="47" s="1"/>
  <c r="E36" i="47"/>
  <c r="F36" i="47"/>
  <c r="AE34" i="47"/>
  <c r="AG34" i="47" s="1"/>
  <c r="BA34" i="47"/>
  <c r="BC34" i="47" s="1"/>
  <c r="AP34" i="47"/>
  <c r="AR34" i="47" s="1"/>
  <c r="M34" i="47"/>
  <c r="U34" i="47" s="1"/>
  <c r="W34" i="47" s="1"/>
  <c r="O34" i="47"/>
  <c r="D39" i="47"/>
  <c r="AW35" i="47"/>
  <c r="L35" i="47"/>
  <c r="K35" i="47"/>
  <c r="AB36" i="47"/>
  <c r="AL36" i="47" s="1"/>
  <c r="AC36" i="47"/>
  <c r="C37" i="47"/>
  <c r="J36" i="47"/>
  <c r="R36" i="47" s="1"/>
  <c r="AM36" i="47"/>
  <c r="Q38" i="47"/>
  <c r="I39" i="47"/>
  <c r="M33" i="47"/>
  <c r="U33" i="47" s="1"/>
  <c r="W33" i="47" s="1"/>
  <c r="T39" i="47"/>
  <c r="AA38" i="47"/>
  <c r="AK38" i="47" s="1"/>
  <c r="AV38" i="47" s="1"/>
  <c r="B39" i="47"/>
  <c r="AD38" i="47"/>
  <c r="AO35" i="47"/>
  <c r="AN35" i="47"/>
  <c r="AA30" i="36"/>
  <c r="X31" i="36" s="1"/>
  <c r="P32" i="36"/>
  <c r="Z31" i="36"/>
  <c r="G77" i="36"/>
  <c r="M76" i="36"/>
  <c r="I33" i="36"/>
  <c r="S33" i="36" s="1"/>
  <c r="B34" i="36"/>
  <c r="AF30" i="36"/>
  <c r="AE30" i="36"/>
  <c r="C33" i="36"/>
  <c r="K32" i="36"/>
  <c r="O32" i="36" s="1"/>
  <c r="J32" i="36"/>
  <c r="AD32" i="36"/>
  <c r="U32" i="36"/>
  <c r="W31" i="36"/>
  <c r="V31" i="36"/>
  <c r="Y31" i="36" s="1"/>
  <c r="AF31" i="36"/>
  <c r="AE31" i="36"/>
  <c r="L34" i="36"/>
  <c r="O35" i="47" l="1"/>
  <c r="G36" i="47"/>
  <c r="E37" i="47"/>
  <c r="F37" i="47"/>
  <c r="BA35" i="47"/>
  <c r="BC35" i="47" s="1"/>
  <c r="AE35" i="47"/>
  <c r="AG35" i="47" s="1"/>
  <c r="AP35" i="47"/>
  <c r="AR35" i="47" s="1"/>
  <c r="D40" i="47"/>
  <c r="S36" i="47"/>
  <c r="T40" i="47"/>
  <c r="AM37" i="47"/>
  <c r="AC37" i="47"/>
  <c r="AB37" i="47"/>
  <c r="AL37" i="47" s="1"/>
  <c r="J37" i="47"/>
  <c r="R37" i="47" s="1"/>
  <c r="S37" i="47" s="1"/>
  <c r="C38" i="47"/>
  <c r="L36" i="47"/>
  <c r="AW36" i="47"/>
  <c r="K36" i="47"/>
  <c r="N36" i="47"/>
  <c r="M35" i="47"/>
  <c r="U35" i="47" s="1"/>
  <c r="W35" i="47" s="1"/>
  <c r="AD39" i="47"/>
  <c r="I40" i="47"/>
  <c r="Q39" i="47"/>
  <c r="B40" i="47"/>
  <c r="AA39" i="47"/>
  <c r="AK39" i="47" s="1"/>
  <c r="AV39" i="47" s="1"/>
  <c r="AO36" i="47"/>
  <c r="AN36" i="47"/>
  <c r="AA31" i="36"/>
  <c r="X32" i="36" s="1"/>
  <c r="Q32" i="36"/>
  <c r="N33" i="36" s="1"/>
  <c r="Z32" i="36"/>
  <c r="AD33" i="36"/>
  <c r="C34" i="36"/>
  <c r="K33" i="36"/>
  <c r="O33" i="36" s="1"/>
  <c r="J33" i="36"/>
  <c r="T33" i="36" s="1"/>
  <c r="U33" i="36"/>
  <c r="L35" i="36"/>
  <c r="P33" i="36"/>
  <c r="Q33" i="36"/>
  <c r="N34" i="36" s="1"/>
  <c r="B35" i="36"/>
  <c r="I34" i="36"/>
  <c r="S34" i="36" s="1"/>
  <c r="W32" i="36"/>
  <c r="V32" i="36"/>
  <c r="Y32" i="36" s="1"/>
  <c r="AA32" i="36" s="1"/>
  <c r="X33" i="36" s="1"/>
  <c r="M77" i="36"/>
  <c r="T32" i="36"/>
  <c r="E38" i="47" l="1"/>
  <c r="F38" i="47"/>
  <c r="BA36" i="47"/>
  <c r="BC36" i="47" s="1"/>
  <c r="AP36" i="47"/>
  <c r="AE36" i="47"/>
  <c r="AG36" i="47" s="1"/>
  <c r="AR36" i="47"/>
  <c r="O36" i="47"/>
  <c r="D41" i="47"/>
  <c r="AC38" i="47"/>
  <c r="AB38" i="47"/>
  <c r="AL38" i="47" s="1"/>
  <c r="C39" i="47"/>
  <c r="J38" i="47"/>
  <c r="R38" i="47" s="1"/>
  <c r="S38" i="47" s="1"/>
  <c r="AM38" i="47"/>
  <c r="AW37" i="47"/>
  <c r="AN37" i="47"/>
  <c r="AO37" i="47"/>
  <c r="T41" i="47"/>
  <c r="B41" i="47"/>
  <c r="AA40" i="47"/>
  <c r="AK40" i="47" s="1"/>
  <c r="AV40" i="47" s="1"/>
  <c r="Q40" i="47"/>
  <c r="I41" i="47"/>
  <c r="AD40" i="47"/>
  <c r="M36" i="47"/>
  <c r="U36" i="47" s="1"/>
  <c r="W36" i="47" s="1"/>
  <c r="V33" i="36"/>
  <c r="Y33" i="36" s="1"/>
  <c r="W33" i="36"/>
  <c r="Z33" i="36"/>
  <c r="P34" i="36"/>
  <c r="L36" i="36"/>
  <c r="I35" i="36"/>
  <c r="S35" i="36" s="1"/>
  <c r="B36" i="36"/>
  <c r="AE32" i="36"/>
  <c r="AF32" i="36"/>
  <c r="AF33" i="36"/>
  <c r="AE33" i="36"/>
  <c r="K34" i="36"/>
  <c r="O34" i="36" s="1"/>
  <c r="J34" i="36"/>
  <c r="U34" i="36"/>
  <c r="AD34" i="36"/>
  <c r="C35" i="36"/>
  <c r="E39" i="47" l="1"/>
  <c r="F39" i="47"/>
  <c r="D42" i="47"/>
  <c r="AN38" i="47"/>
  <c r="AO38" i="47"/>
  <c r="AM39" i="47"/>
  <c r="C40" i="47"/>
  <c r="AC39" i="47"/>
  <c r="J39" i="47"/>
  <c r="R39" i="47" s="1"/>
  <c r="S39" i="47" s="1"/>
  <c r="AB39" i="47"/>
  <c r="AL39" i="47" s="1"/>
  <c r="AD41" i="47"/>
  <c r="Q41" i="47"/>
  <c r="I42" i="47"/>
  <c r="AW38" i="47"/>
  <c r="AA41" i="47"/>
  <c r="AK41" i="47" s="1"/>
  <c r="AV41" i="47" s="1"/>
  <c r="B42" i="47"/>
  <c r="T42" i="47"/>
  <c r="Q34" i="36"/>
  <c r="N35" i="36" s="1"/>
  <c r="AA33" i="36"/>
  <c r="X34" i="36" s="1"/>
  <c r="P35" i="36"/>
  <c r="Z34" i="36"/>
  <c r="L37" i="36"/>
  <c r="I36" i="36"/>
  <c r="S36" i="36" s="1"/>
  <c r="B37" i="36"/>
  <c r="C36" i="36"/>
  <c r="K35" i="36"/>
  <c r="O35" i="36" s="1"/>
  <c r="Q35" i="36" s="1"/>
  <c r="N36" i="36" s="1"/>
  <c r="J35" i="36"/>
  <c r="T35" i="36" s="1"/>
  <c r="AD35" i="36"/>
  <c r="U35" i="36"/>
  <c r="W34" i="36"/>
  <c r="V34" i="36"/>
  <c r="Y34" i="36" s="1"/>
  <c r="T34" i="36"/>
  <c r="F40" i="47" l="1"/>
  <c r="E40" i="47"/>
  <c r="D43" i="47"/>
  <c r="Q42" i="47"/>
  <c r="I43" i="47"/>
  <c r="AD42" i="47"/>
  <c r="AW39" i="47"/>
  <c r="T43" i="47"/>
  <c r="J40" i="47"/>
  <c r="R40" i="47" s="1"/>
  <c r="S40" i="47" s="1"/>
  <c r="AM40" i="47"/>
  <c r="AC40" i="47"/>
  <c r="AB40" i="47"/>
  <c r="AL40" i="47" s="1"/>
  <c r="C41" i="47"/>
  <c r="AO39" i="47"/>
  <c r="AN39" i="47"/>
  <c r="B43" i="47"/>
  <c r="AA42" i="47"/>
  <c r="AK42" i="47" s="1"/>
  <c r="AV42" i="47" s="1"/>
  <c r="AA34" i="36"/>
  <c r="X35" i="36" s="1"/>
  <c r="Z35" i="36"/>
  <c r="P36" i="36"/>
  <c r="L38" i="36"/>
  <c r="AF34" i="36"/>
  <c r="AE34" i="36"/>
  <c r="W35" i="36"/>
  <c r="V35" i="36"/>
  <c r="Y35" i="36" s="1"/>
  <c r="AA35" i="36" s="1"/>
  <c r="X36" i="36" s="1"/>
  <c r="AE35" i="36"/>
  <c r="AF35" i="36"/>
  <c r="AD36" i="36"/>
  <c r="C37" i="36"/>
  <c r="U36" i="36"/>
  <c r="K36" i="36"/>
  <c r="O36" i="36" s="1"/>
  <c r="J36" i="36"/>
  <c r="T36" i="36" s="1"/>
  <c r="B38" i="36"/>
  <c r="I37" i="36"/>
  <c r="S37" i="36" s="1"/>
  <c r="G40" i="47" l="1"/>
  <c r="AP40" i="47" s="1"/>
  <c r="F41" i="47"/>
  <c r="E41" i="47"/>
  <c r="D44" i="47"/>
  <c r="AO40" i="47"/>
  <c r="AN40" i="47"/>
  <c r="T44" i="47"/>
  <c r="AA43" i="47"/>
  <c r="AK43" i="47" s="1"/>
  <c r="AV43" i="47" s="1"/>
  <c r="B44" i="47"/>
  <c r="AD43" i="47"/>
  <c r="Q43" i="47"/>
  <c r="I44" i="47"/>
  <c r="AM41" i="47"/>
  <c r="J41" i="47"/>
  <c r="R41" i="47" s="1"/>
  <c r="S41" i="47" s="1"/>
  <c r="AC41" i="47"/>
  <c r="AB41" i="47"/>
  <c r="AL41" i="47" s="1"/>
  <c r="C42" i="47"/>
  <c r="K40" i="47"/>
  <c r="L40" i="47"/>
  <c r="AW40" i="47"/>
  <c r="Q36" i="36"/>
  <c r="N37" i="36" s="1"/>
  <c r="Z36" i="36"/>
  <c r="P37" i="36"/>
  <c r="I38" i="36"/>
  <c r="S38" i="36" s="1"/>
  <c r="B39" i="36"/>
  <c r="V36" i="36"/>
  <c r="Y36" i="36" s="1"/>
  <c r="AA36" i="36" s="1"/>
  <c r="X37" i="36" s="1"/>
  <c r="W36" i="36"/>
  <c r="AF36" i="36"/>
  <c r="AE36" i="36"/>
  <c r="L39" i="36"/>
  <c r="K37" i="36"/>
  <c r="O37" i="36" s="1"/>
  <c r="J37" i="36"/>
  <c r="T37" i="36" s="1"/>
  <c r="U37" i="36"/>
  <c r="C38" i="36"/>
  <c r="AD37" i="36"/>
  <c r="AE40" i="47" l="1"/>
  <c r="AG40" i="47" s="1"/>
  <c r="BA40" i="47"/>
  <c r="BC40" i="47" s="1"/>
  <c r="N40" i="47"/>
  <c r="AR40" i="47"/>
  <c r="M40" i="47"/>
  <c r="U40" i="47" s="1"/>
  <c r="W40" i="47" s="1"/>
  <c r="G41" i="47"/>
  <c r="N41" i="47" s="1"/>
  <c r="F42" i="47"/>
  <c r="E42" i="47"/>
  <c r="G42" i="47" s="1"/>
  <c r="O40" i="47"/>
  <c r="D45" i="47"/>
  <c r="I45" i="47"/>
  <c r="Q44" i="47"/>
  <c r="AD44" i="47"/>
  <c r="B45" i="47"/>
  <c r="AA44" i="47"/>
  <c r="AK44" i="47" s="1"/>
  <c r="AV44" i="47" s="1"/>
  <c r="T45" i="47"/>
  <c r="C43" i="47"/>
  <c r="J42" i="47"/>
  <c r="R42" i="47" s="1"/>
  <c r="S42" i="47" s="1"/>
  <c r="AM42" i="47"/>
  <c r="AC42" i="47"/>
  <c r="AB42" i="47"/>
  <c r="AL42" i="47" s="1"/>
  <c r="AW41" i="47"/>
  <c r="L41" i="47"/>
  <c r="K41" i="47"/>
  <c r="AO41" i="47"/>
  <c r="AN41" i="47"/>
  <c r="Q37" i="36"/>
  <c r="N38" i="36" s="1"/>
  <c r="P38" i="36"/>
  <c r="Z37" i="36"/>
  <c r="L40" i="36"/>
  <c r="C39" i="36"/>
  <c r="K38" i="36"/>
  <c r="O38" i="36" s="1"/>
  <c r="Q38" i="36" s="1"/>
  <c r="N39" i="36" s="1"/>
  <c r="J38" i="36"/>
  <c r="T38" i="36" s="1"/>
  <c r="AD38" i="36"/>
  <c r="U38" i="36"/>
  <c r="W37" i="36"/>
  <c r="V37" i="36"/>
  <c r="Y37" i="36" s="1"/>
  <c r="AA37" i="36" s="1"/>
  <c r="X38" i="36" s="1"/>
  <c r="AF37" i="36"/>
  <c r="AE37" i="36"/>
  <c r="I39" i="36"/>
  <c r="S39" i="36" s="1"/>
  <c r="B40" i="36"/>
  <c r="M41" i="47" l="1"/>
  <c r="U41" i="47" s="1"/>
  <c r="W41" i="47" s="1"/>
  <c r="O41" i="47"/>
  <c r="AP42" i="47"/>
  <c r="BA42" i="47"/>
  <c r="BC42" i="47" s="1"/>
  <c r="AE42" i="47"/>
  <c r="AG42" i="47" s="1"/>
  <c r="F43" i="47"/>
  <c r="E43" i="47"/>
  <c r="G43" i="47" s="1"/>
  <c r="AE41" i="47"/>
  <c r="AG41" i="47" s="1"/>
  <c r="BA41" i="47"/>
  <c r="BC41" i="47" s="1"/>
  <c r="AP41" i="47"/>
  <c r="AR41" i="47" s="1"/>
  <c r="D46" i="47"/>
  <c r="C44" i="47"/>
  <c r="J43" i="47"/>
  <c r="R43" i="47" s="1"/>
  <c r="S43" i="47" s="1"/>
  <c r="AM43" i="47"/>
  <c r="AB43" i="47"/>
  <c r="AL43" i="47" s="1"/>
  <c r="AC43" i="47"/>
  <c r="T46" i="47"/>
  <c r="AA45" i="47"/>
  <c r="AK45" i="47" s="1"/>
  <c r="AV45" i="47" s="1"/>
  <c r="B46" i="47"/>
  <c r="AD45" i="47"/>
  <c r="Q45" i="47"/>
  <c r="I46" i="47"/>
  <c r="K42" i="47"/>
  <c r="L42" i="47"/>
  <c r="M42" i="47" s="1"/>
  <c r="U42" i="47" s="1"/>
  <c r="W42" i="47" s="1"/>
  <c r="AW42" i="47"/>
  <c r="N42" i="47"/>
  <c r="AO42" i="47"/>
  <c r="AN42" i="47"/>
  <c r="P39" i="36"/>
  <c r="AD39" i="36"/>
  <c r="C40" i="36"/>
  <c r="U39" i="36"/>
  <c r="J39" i="36"/>
  <c r="T39" i="36" s="1"/>
  <c r="K39" i="36"/>
  <c r="O39" i="36" s="1"/>
  <c r="Q39" i="36" s="1"/>
  <c r="N40" i="36" s="1"/>
  <c r="B41" i="36"/>
  <c r="I40" i="36"/>
  <c r="S40" i="36" s="1"/>
  <c r="L41" i="36"/>
  <c r="Z38" i="36"/>
  <c r="W38" i="36"/>
  <c r="V38" i="36"/>
  <c r="Y38" i="36" s="1"/>
  <c r="AA38" i="36" s="1"/>
  <c r="X39" i="36" s="1"/>
  <c r="AE38" i="36"/>
  <c r="AF38" i="36"/>
  <c r="AR42" i="47" l="1"/>
  <c r="F44" i="47"/>
  <c r="E44" i="47"/>
  <c r="AP43" i="47"/>
  <c r="AE43" i="47"/>
  <c r="BA43" i="47"/>
  <c r="BC43" i="47" s="1"/>
  <c r="AG43" i="47"/>
  <c r="D47" i="47"/>
  <c r="O42" i="47"/>
  <c r="Q46" i="47"/>
  <c r="I47" i="47"/>
  <c r="AD46" i="47"/>
  <c r="B47" i="47"/>
  <c r="AA46" i="47"/>
  <c r="AK46" i="47" s="1"/>
  <c r="AV46" i="47" s="1"/>
  <c r="T47" i="47"/>
  <c r="L43" i="47"/>
  <c r="M43" i="47" s="1"/>
  <c r="U43" i="47" s="1"/>
  <c r="W43" i="47" s="1"/>
  <c r="K43" i="47"/>
  <c r="AW43" i="47"/>
  <c r="N43" i="47"/>
  <c r="AO43" i="47"/>
  <c r="AN43" i="47"/>
  <c r="AC44" i="47"/>
  <c r="AB44" i="47"/>
  <c r="AL44" i="47" s="1"/>
  <c r="AM44" i="47"/>
  <c r="J44" i="47"/>
  <c r="R44" i="47" s="1"/>
  <c r="S44" i="47" s="1"/>
  <c r="C45" i="47"/>
  <c r="P40" i="36"/>
  <c r="AF39" i="36"/>
  <c r="AE39" i="36"/>
  <c r="Z39" i="36"/>
  <c r="L42" i="36"/>
  <c r="B42" i="36"/>
  <c r="I41" i="36"/>
  <c r="S41" i="36" s="1"/>
  <c r="K40" i="36"/>
  <c r="O40" i="36" s="1"/>
  <c r="Q40" i="36" s="1"/>
  <c r="N41" i="36" s="1"/>
  <c r="J40" i="36"/>
  <c r="T40" i="36" s="1"/>
  <c r="U40" i="36"/>
  <c r="AD40" i="36"/>
  <c r="C41" i="36"/>
  <c r="V39" i="36"/>
  <c r="Y39" i="36" s="1"/>
  <c r="W39" i="36"/>
  <c r="G44" i="47" l="1"/>
  <c r="AE44" i="47" s="1"/>
  <c r="AG44" i="47" s="1"/>
  <c r="F45" i="47"/>
  <c r="E45" i="47"/>
  <c r="AR43" i="47"/>
  <c r="D48" i="47"/>
  <c r="T48" i="47"/>
  <c r="B48" i="47"/>
  <c r="AA47" i="47"/>
  <c r="AK47" i="47" s="1"/>
  <c r="AV47" i="47" s="1"/>
  <c r="AD47" i="47"/>
  <c r="AM45" i="47"/>
  <c r="AB45" i="47"/>
  <c r="AL45" i="47" s="1"/>
  <c r="C46" i="47"/>
  <c r="J45" i="47"/>
  <c r="R45" i="47" s="1"/>
  <c r="S45" i="47" s="1"/>
  <c r="AC45" i="47"/>
  <c r="Q47" i="47"/>
  <c r="I48" i="47"/>
  <c r="AO44" i="47"/>
  <c r="AN44" i="47"/>
  <c r="L44" i="47"/>
  <c r="K44" i="47"/>
  <c r="AW44" i="47"/>
  <c r="N44" i="47"/>
  <c r="O43" i="47"/>
  <c r="AA39" i="36"/>
  <c r="X40" i="36" s="1"/>
  <c r="P41" i="36"/>
  <c r="Z40" i="36"/>
  <c r="I42" i="36"/>
  <c r="S42" i="36" s="1"/>
  <c r="B43" i="36"/>
  <c r="L43" i="36"/>
  <c r="AF40" i="36"/>
  <c r="AE40" i="36"/>
  <c r="C42" i="36"/>
  <c r="K41" i="36"/>
  <c r="O41" i="36" s="1"/>
  <c r="Q41" i="36" s="1"/>
  <c r="N42" i="36" s="1"/>
  <c r="J41" i="36"/>
  <c r="T41" i="36" s="1"/>
  <c r="AD41" i="36"/>
  <c r="U41" i="36"/>
  <c r="W40" i="36"/>
  <c r="V40" i="36"/>
  <c r="Y40" i="36" s="1"/>
  <c r="AA40" i="36" s="1"/>
  <c r="X41" i="36" s="1"/>
  <c r="O44" i="47" l="1"/>
  <c r="M44" i="47"/>
  <c r="U44" i="47" s="1"/>
  <c r="W44" i="47" s="1"/>
  <c r="AP44" i="47"/>
  <c r="AR44" i="47" s="1"/>
  <c r="BA44" i="47"/>
  <c r="BC44" i="47" s="1"/>
  <c r="F46" i="47"/>
  <c r="E46" i="47"/>
  <c r="D49" i="47"/>
  <c r="AM46" i="47"/>
  <c r="J46" i="47"/>
  <c r="R46" i="47" s="1"/>
  <c r="S46" i="47" s="1"/>
  <c r="C47" i="47"/>
  <c r="AC46" i="47"/>
  <c r="AB46" i="47"/>
  <c r="AL46" i="47" s="1"/>
  <c r="AW45" i="47"/>
  <c r="AO45" i="47"/>
  <c r="AN45" i="47"/>
  <c r="AD48" i="47"/>
  <c r="B49" i="47"/>
  <c r="AA48" i="47"/>
  <c r="AK48" i="47" s="1"/>
  <c r="AV48" i="47" s="1"/>
  <c r="T49" i="47"/>
  <c r="I49" i="47"/>
  <c r="Q48" i="47"/>
  <c r="P42" i="36"/>
  <c r="Z41" i="36"/>
  <c r="AD42" i="36"/>
  <c r="C43" i="36"/>
  <c r="U42" i="36"/>
  <c r="K42" i="36"/>
  <c r="O42" i="36" s="1"/>
  <c r="Q42" i="36" s="1"/>
  <c r="N43" i="36" s="1"/>
  <c r="J42" i="36"/>
  <c r="T42" i="36" s="1"/>
  <c r="L44" i="36"/>
  <c r="W41" i="36"/>
  <c r="V41" i="36"/>
  <c r="Y41" i="36" s="1"/>
  <c r="B44" i="36"/>
  <c r="I43" i="36"/>
  <c r="S43" i="36" s="1"/>
  <c r="AE41" i="36"/>
  <c r="AF41" i="36"/>
  <c r="F47" i="47" l="1"/>
  <c r="E47" i="47"/>
  <c r="D50" i="47"/>
  <c r="AD49" i="47"/>
  <c r="Q49" i="47"/>
  <c r="I50" i="47"/>
  <c r="AW46" i="47"/>
  <c r="C48" i="47"/>
  <c r="J47" i="47"/>
  <c r="R47" i="47" s="1"/>
  <c r="S47" i="47" s="1"/>
  <c r="AM47" i="47"/>
  <c r="AB47" i="47"/>
  <c r="AL47" i="47" s="1"/>
  <c r="AC47" i="47"/>
  <c r="T50" i="47"/>
  <c r="AO46" i="47"/>
  <c r="AN46" i="47"/>
  <c r="AA49" i="47"/>
  <c r="AK49" i="47" s="1"/>
  <c r="AV49" i="47" s="1"/>
  <c r="B50" i="47"/>
  <c r="AA41" i="36"/>
  <c r="X42" i="36" s="1"/>
  <c r="P43" i="36"/>
  <c r="Z42" i="36"/>
  <c r="V42" i="36"/>
  <c r="Y42" i="36" s="1"/>
  <c r="AA42" i="36" s="1"/>
  <c r="X43" i="36" s="1"/>
  <c r="W42" i="36"/>
  <c r="L45" i="36"/>
  <c r="AF42" i="36"/>
  <c r="AE42" i="36"/>
  <c r="K43" i="36"/>
  <c r="O43" i="36" s="1"/>
  <c r="Q43" i="36" s="1"/>
  <c r="N44" i="36" s="1"/>
  <c r="J43" i="36"/>
  <c r="T43" i="36" s="1"/>
  <c r="U43" i="36"/>
  <c r="AD43" i="36"/>
  <c r="C44" i="36"/>
  <c r="B45" i="36"/>
  <c r="I44" i="36"/>
  <c r="S44" i="36" s="1"/>
  <c r="F48" i="47" l="1"/>
  <c r="E48" i="47"/>
  <c r="D51" i="47"/>
  <c r="AN47" i="47"/>
  <c r="AO47" i="47"/>
  <c r="AC48" i="47"/>
  <c r="AB48" i="47"/>
  <c r="AL48" i="47" s="1"/>
  <c r="C49" i="47"/>
  <c r="J48" i="47"/>
  <c r="R48" i="47" s="1"/>
  <c r="S48" i="47" s="1"/>
  <c r="AM48" i="47"/>
  <c r="B51" i="47"/>
  <c r="AA50" i="47"/>
  <c r="AK50" i="47" s="1"/>
  <c r="AV50" i="47" s="1"/>
  <c r="Q50" i="47"/>
  <c r="I51" i="47"/>
  <c r="AD50" i="47"/>
  <c r="T51" i="47"/>
  <c r="AW47" i="47"/>
  <c r="P44" i="36"/>
  <c r="Z43" i="36"/>
  <c r="AF43" i="36"/>
  <c r="AE43" i="36"/>
  <c r="I45" i="36"/>
  <c r="S45" i="36" s="1"/>
  <c r="B46" i="36"/>
  <c r="C45" i="36"/>
  <c r="K44" i="36"/>
  <c r="O44" i="36" s="1"/>
  <c r="Q44" i="36" s="1"/>
  <c r="N45" i="36" s="1"/>
  <c r="J44" i="36"/>
  <c r="T44" i="36" s="1"/>
  <c r="AD44" i="36"/>
  <c r="U44" i="36"/>
  <c r="L46" i="36"/>
  <c r="W43" i="36"/>
  <c r="V43" i="36"/>
  <c r="Y43" i="36" s="1"/>
  <c r="E49" i="47" l="1"/>
  <c r="F49" i="47"/>
  <c r="G48" i="47"/>
  <c r="D52" i="47"/>
  <c r="AA51" i="47"/>
  <c r="AK51" i="47" s="1"/>
  <c r="AV51" i="47" s="1"/>
  <c r="B52" i="47"/>
  <c r="AN48" i="47"/>
  <c r="AO48" i="47"/>
  <c r="AC49" i="47"/>
  <c r="AB49" i="47"/>
  <c r="AL49" i="47" s="1"/>
  <c r="J49" i="47"/>
  <c r="R49" i="47" s="1"/>
  <c r="S49" i="47" s="1"/>
  <c r="AM49" i="47"/>
  <c r="C50" i="47"/>
  <c r="AW48" i="47"/>
  <c r="L48" i="47"/>
  <c r="M48" i="47" s="1"/>
  <c r="U48" i="47" s="1"/>
  <c r="W48" i="47" s="1"/>
  <c r="K48" i="47"/>
  <c r="N48" i="47"/>
  <c r="T52" i="47"/>
  <c r="AD51" i="47"/>
  <c r="Q51" i="47"/>
  <c r="I52" i="47"/>
  <c r="AA43" i="36"/>
  <c r="X44" i="36" s="1"/>
  <c r="P45" i="36"/>
  <c r="Z44" i="36"/>
  <c r="AF44" i="36"/>
  <c r="AE44" i="36"/>
  <c r="J45" i="36"/>
  <c r="T45" i="36" s="1"/>
  <c r="U45" i="36"/>
  <c r="AD45" i="36"/>
  <c r="C46" i="36"/>
  <c r="K45" i="36"/>
  <c r="O45" i="36" s="1"/>
  <c r="Q45" i="36" s="1"/>
  <c r="N46" i="36" s="1"/>
  <c r="B47" i="36"/>
  <c r="I46" i="36"/>
  <c r="S46" i="36" s="1"/>
  <c r="L47" i="36"/>
  <c r="W44" i="36"/>
  <c r="V44" i="36"/>
  <c r="Y44" i="36" s="1"/>
  <c r="G49" i="47" l="1"/>
  <c r="E50" i="47"/>
  <c r="F50" i="47"/>
  <c r="AP48" i="47"/>
  <c r="AE48" i="47"/>
  <c r="AG48" i="47" s="1"/>
  <c r="BA48" i="47"/>
  <c r="BC48" i="47" s="1"/>
  <c r="O48" i="47"/>
  <c r="D53" i="47"/>
  <c r="C51" i="47"/>
  <c r="J50" i="47"/>
  <c r="R50" i="47" s="1"/>
  <c r="S50" i="47" s="1"/>
  <c r="AC50" i="47"/>
  <c r="AB50" i="47"/>
  <c r="AL50" i="47" s="1"/>
  <c r="AM50" i="47"/>
  <c r="AO49" i="47"/>
  <c r="AN49" i="47"/>
  <c r="AW49" i="47"/>
  <c r="K49" i="47"/>
  <c r="L49" i="47"/>
  <c r="AR48" i="47"/>
  <c r="I53" i="47"/>
  <c r="Q52" i="47"/>
  <c r="B53" i="47"/>
  <c r="AA52" i="47"/>
  <c r="AK52" i="47" s="1"/>
  <c r="AV52" i="47" s="1"/>
  <c r="AD52" i="47"/>
  <c r="T53" i="47"/>
  <c r="AA44" i="36"/>
  <c r="X45" i="36" s="1"/>
  <c r="P46" i="36"/>
  <c r="Z45" i="36"/>
  <c r="B48" i="36"/>
  <c r="I47" i="36"/>
  <c r="S47" i="36" s="1"/>
  <c r="AD46" i="36"/>
  <c r="K46" i="36"/>
  <c r="O46" i="36" s="1"/>
  <c r="Q46" i="36" s="1"/>
  <c r="N47" i="36" s="1"/>
  <c r="J46" i="36"/>
  <c r="T46" i="36" s="1"/>
  <c r="U46" i="36"/>
  <c r="C47" i="36"/>
  <c r="W45" i="36"/>
  <c r="V45" i="36"/>
  <c r="Y45" i="36" s="1"/>
  <c r="L48" i="36"/>
  <c r="AF45" i="36"/>
  <c r="AE45" i="36"/>
  <c r="AE49" i="47" l="1"/>
  <c r="AG49" i="47" s="1"/>
  <c r="BA49" i="47"/>
  <c r="BC49" i="47" s="1"/>
  <c r="AP49" i="47"/>
  <c r="AR49" i="47" s="1"/>
  <c r="E51" i="47"/>
  <c r="F51" i="47"/>
  <c r="N49" i="47"/>
  <c r="O49" i="47" s="1"/>
  <c r="M49" i="47"/>
  <c r="U49" i="47" s="1"/>
  <c r="W49" i="47" s="1"/>
  <c r="G50" i="47"/>
  <c r="D54" i="47"/>
  <c r="AD53" i="47"/>
  <c r="B54" i="47"/>
  <c r="AA53" i="47"/>
  <c r="AK53" i="47" s="1"/>
  <c r="AV53" i="47" s="1"/>
  <c r="I54" i="47"/>
  <c r="Q53" i="47"/>
  <c r="AN50" i="47"/>
  <c r="AO50" i="47"/>
  <c r="T54" i="47"/>
  <c r="K50" i="47"/>
  <c r="L50" i="47"/>
  <c r="AW50" i="47"/>
  <c r="C52" i="47"/>
  <c r="AC51" i="47"/>
  <c r="AB51" i="47"/>
  <c r="AL51" i="47" s="1"/>
  <c r="AM51" i="47"/>
  <c r="J51" i="47"/>
  <c r="R51" i="47" s="1"/>
  <c r="S51" i="47" s="1"/>
  <c r="AA45" i="36"/>
  <c r="X46" i="36" s="1"/>
  <c r="P47" i="36"/>
  <c r="Z46" i="36"/>
  <c r="C48" i="36"/>
  <c r="K47" i="36"/>
  <c r="O47" i="36" s="1"/>
  <c r="Q47" i="36" s="1"/>
  <c r="N48" i="36" s="1"/>
  <c r="J47" i="36"/>
  <c r="T47" i="36" s="1"/>
  <c r="AD47" i="36"/>
  <c r="U47" i="36"/>
  <c r="B49" i="36"/>
  <c r="I48" i="36"/>
  <c r="S48" i="36" s="1"/>
  <c r="AF46" i="36"/>
  <c r="AE46" i="36"/>
  <c r="L49" i="36"/>
  <c r="V46" i="36"/>
  <c r="Y46" i="36" s="1"/>
  <c r="W46" i="36"/>
  <c r="E52" i="47" l="1"/>
  <c r="F52" i="47"/>
  <c r="BA50" i="47"/>
  <c r="BC50" i="47" s="1"/>
  <c r="AE50" i="47"/>
  <c r="AG50" i="47" s="1"/>
  <c r="AP50" i="47"/>
  <c r="G51" i="47"/>
  <c r="M50" i="47"/>
  <c r="U50" i="47" s="1"/>
  <c r="W50" i="47" s="1"/>
  <c r="N50" i="47"/>
  <c r="O50" i="47" s="1"/>
  <c r="D55" i="47"/>
  <c r="T55" i="47"/>
  <c r="AR50" i="47"/>
  <c r="B55" i="47"/>
  <c r="AA54" i="47"/>
  <c r="AK54" i="47" s="1"/>
  <c r="AV54" i="47" s="1"/>
  <c r="AD54" i="47"/>
  <c r="AW51" i="47"/>
  <c r="L51" i="47"/>
  <c r="M51" i="47" s="1"/>
  <c r="U51" i="47" s="1"/>
  <c r="W51" i="47" s="1"/>
  <c r="K51" i="47"/>
  <c r="N51" i="47"/>
  <c r="I55" i="47"/>
  <c r="Q54" i="47"/>
  <c r="AO51" i="47"/>
  <c r="AN51" i="47"/>
  <c r="J52" i="47"/>
  <c r="R52" i="47" s="1"/>
  <c r="S52" i="47" s="1"/>
  <c r="AM52" i="47"/>
  <c r="C53" i="47"/>
  <c r="AC52" i="47"/>
  <c r="AB52" i="47"/>
  <c r="AL52" i="47" s="1"/>
  <c r="AA46" i="36"/>
  <c r="X47" i="36" s="1"/>
  <c r="P48" i="36"/>
  <c r="Z47" i="36"/>
  <c r="I49" i="36"/>
  <c r="S49" i="36" s="1"/>
  <c r="B50" i="36"/>
  <c r="W47" i="36"/>
  <c r="V47" i="36"/>
  <c r="Y47" i="36" s="1"/>
  <c r="AA47" i="36" s="1"/>
  <c r="X48" i="36" s="1"/>
  <c r="AF47" i="36"/>
  <c r="AE47" i="36"/>
  <c r="C49" i="36"/>
  <c r="K48" i="36"/>
  <c r="O48" i="36" s="1"/>
  <c r="Q48" i="36" s="1"/>
  <c r="N49" i="36" s="1"/>
  <c r="AD48" i="36"/>
  <c r="J48" i="36"/>
  <c r="T48" i="36" s="1"/>
  <c r="U48" i="36"/>
  <c r="L50" i="36"/>
  <c r="E53" i="47" l="1"/>
  <c r="F53" i="47"/>
  <c r="BA51" i="47"/>
  <c r="BC51" i="47" s="1"/>
  <c r="AP51" i="47"/>
  <c r="AE51" i="47"/>
  <c r="AG51" i="47" s="1"/>
  <c r="G52" i="47"/>
  <c r="N52" i="47" s="1"/>
  <c r="D56" i="47"/>
  <c r="AR51" i="47"/>
  <c r="AA55" i="47"/>
  <c r="AK55" i="47" s="1"/>
  <c r="AV55" i="47" s="1"/>
  <c r="B56" i="47"/>
  <c r="C54" i="47"/>
  <c r="AM53" i="47"/>
  <c r="J53" i="47"/>
  <c r="R53" i="47" s="1"/>
  <c r="S53" i="47" s="1"/>
  <c r="AC53" i="47"/>
  <c r="AB53" i="47"/>
  <c r="AL53" i="47" s="1"/>
  <c r="AD55" i="47"/>
  <c r="K52" i="47"/>
  <c r="L52" i="47"/>
  <c r="AW52" i="47"/>
  <c r="T56" i="47"/>
  <c r="AO52" i="47"/>
  <c r="AN52" i="47"/>
  <c r="Q55" i="47"/>
  <c r="I56" i="47"/>
  <c r="O51" i="47"/>
  <c r="P49" i="36"/>
  <c r="Z48" i="36"/>
  <c r="L51" i="36"/>
  <c r="B51" i="36"/>
  <c r="I50" i="36"/>
  <c r="S50" i="36" s="1"/>
  <c r="AF48" i="36"/>
  <c r="AE48" i="36"/>
  <c r="J49" i="36"/>
  <c r="T49" i="36" s="1"/>
  <c r="U49" i="36"/>
  <c r="C50" i="36"/>
  <c r="K49" i="36"/>
  <c r="O49" i="36" s="1"/>
  <c r="Q49" i="36" s="1"/>
  <c r="N50" i="36" s="1"/>
  <c r="AD49" i="36"/>
  <c r="W48" i="36"/>
  <c r="V48" i="36"/>
  <c r="Y48" i="36" s="1"/>
  <c r="AA48" i="36" s="1"/>
  <c r="X49" i="36" s="1"/>
  <c r="M52" i="47" l="1"/>
  <c r="U52" i="47" s="1"/>
  <c r="W52" i="47" s="1"/>
  <c r="E54" i="47"/>
  <c r="F54" i="47"/>
  <c r="AE52" i="47"/>
  <c r="AG52" i="47" s="1"/>
  <c r="BA52" i="47"/>
  <c r="BC52" i="47" s="1"/>
  <c r="AP52" i="47"/>
  <c r="AR52" i="47" s="1"/>
  <c r="D57" i="47"/>
  <c r="AD56" i="47"/>
  <c r="AN53" i="47"/>
  <c r="AO53" i="47"/>
  <c r="AC54" i="47"/>
  <c r="AB54" i="47"/>
  <c r="AL54" i="47" s="1"/>
  <c r="J54" i="47"/>
  <c r="R54" i="47" s="1"/>
  <c r="S54" i="47" s="1"/>
  <c r="AM54" i="47"/>
  <c r="C55" i="47"/>
  <c r="AA56" i="47"/>
  <c r="AK56" i="47" s="1"/>
  <c r="AV56" i="47" s="1"/>
  <c r="B57" i="47"/>
  <c r="Q56" i="47"/>
  <c r="I57" i="47"/>
  <c r="T57" i="47"/>
  <c r="O52" i="47"/>
  <c r="AW53" i="47"/>
  <c r="P50" i="36"/>
  <c r="Z49" i="36"/>
  <c r="AF49" i="36"/>
  <c r="AE49" i="36"/>
  <c r="B52" i="36"/>
  <c r="I51" i="36"/>
  <c r="S51" i="36" s="1"/>
  <c r="W49" i="36"/>
  <c r="V49" i="36"/>
  <c r="Y49" i="36" s="1"/>
  <c r="AA49" i="36" s="1"/>
  <c r="X50" i="36" s="1"/>
  <c r="L52" i="36"/>
  <c r="C51" i="36"/>
  <c r="K50" i="36"/>
  <c r="O50" i="36" s="1"/>
  <c r="Q50" i="36" s="1"/>
  <c r="N51" i="36" s="1"/>
  <c r="J50" i="36"/>
  <c r="T50" i="36" s="1"/>
  <c r="AD50" i="36"/>
  <c r="U50" i="36"/>
  <c r="E55" i="47" l="1"/>
  <c r="F55" i="47"/>
  <c r="D58" i="47"/>
  <c r="AA57" i="47"/>
  <c r="AK57" i="47" s="1"/>
  <c r="AV57" i="47" s="1"/>
  <c r="B58" i="47"/>
  <c r="C56" i="47"/>
  <c r="J55" i="47"/>
  <c r="R55" i="47" s="1"/>
  <c r="S55" i="47" s="1"/>
  <c r="AM55" i="47"/>
  <c r="AC55" i="47"/>
  <c r="AB55" i="47"/>
  <c r="AL55" i="47" s="1"/>
  <c r="I58" i="47"/>
  <c r="Q57" i="47"/>
  <c r="AO54" i="47"/>
  <c r="AN54" i="47"/>
  <c r="AW54" i="47"/>
  <c r="AD57" i="47"/>
  <c r="T58" i="47"/>
  <c r="P51" i="36"/>
  <c r="Z50" i="36"/>
  <c r="L53" i="36"/>
  <c r="I52" i="36"/>
  <c r="S52" i="36" s="1"/>
  <c r="B53" i="36"/>
  <c r="W50" i="36"/>
  <c r="V50" i="36"/>
  <c r="Y50" i="36" s="1"/>
  <c r="AA50" i="36" s="1"/>
  <c r="X51" i="36" s="1"/>
  <c r="AE50" i="36"/>
  <c r="AF50" i="36"/>
  <c r="C52" i="36"/>
  <c r="K51" i="36"/>
  <c r="O51" i="36" s="1"/>
  <c r="Q51" i="36" s="1"/>
  <c r="N52" i="36" s="1"/>
  <c r="J51" i="36"/>
  <c r="T51" i="36" s="1"/>
  <c r="AD51" i="36"/>
  <c r="U51" i="36"/>
  <c r="E56" i="47" l="1"/>
  <c r="F56" i="47"/>
  <c r="D59" i="47"/>
  <c r="I59" i="47"/>
  <c r="Q58" i="47"/>
  <c r="AW55" i="47"/>
  <c r="T59" i="47"/>
  <c r="AO55" i="47"/>
  <c r="AN55" i="47"/>
  <c r="AD58" i="47"/>
  <c r="J56" i="47"/>
  <c r="R56" i="47" s="1"/>
  <c r="S56" i="47" s="1"/>
  <c r="AM56" i="47"/>
  <c r="AC56" i="47"/>
  <c r="AB56" i="47"/>
  <c r="AL56" i="47" s="1"/>
  <c r="C57" i="47"/>
  <c r="B59" i="47"/>
  <c r="AA58" i="47"/>
  <c r="AK58" i="47" s="1"/>
  <c r="AV58" i="47" s="1"/>
  <c r="P52" i="36"/>
  <c r="Z51" i="36"/>
  <c r="B54" i="36"/>
  <c r="I53" i="36"/>
  <c r="S53" i="36" s="1"/>
  <c r="AF51" i="36"/>
  <c r="AE51" i="36"/>
  <c r="V51" i="36"/>
  <c r="Y51" i="36" s="1"/>
  <c r="AA51" i="36" s="1"/>
  <c r="X52" i="36" s="1"/>
  <c r="W51" i="36"/>
  <c r="L54" i="36"/>
  <c r="J52" i="36"/>
  <c r="T52" i="36" s="1"/>
  <c r="U52" i="36"/>
  <c r="K52" i="36"/>
  <c r="O52" i="36" s="1"/>
  <c r="Q52" i="36" s="1"/>
  <c r="N53" i="36" s="1"/>
  <c r="C53" i="36"/>
  <c r="AD52" i="36"/>
  <c r="G56" i="47" l="1"/>
  <c r="AP56" i="47" s="1"/>
  <c r="E57" i="47"/>
  <c r="F57" i="47"/>
  <c r="D60" i="47"/>
  <c r="AD59" i="47"/>
  <c r="T60" i="47"/>
  <c r="AA59" i="47"/>
  <c r="AK59" i="47" s="1"/>
  <c r="AV59" i="47" s="1"/>
  <c r="B60" i="47"/>
  <c r="I60" i="47"/>
  <c r="Q59" i="47"/>
  <c r="AM57" i="47"/>
  <c r="J57" i="47"/>
  <c r="R57" i="47" s="1"/>
  <c r="S57" i="47" s="1"/>
  <c r="AB57" i="47"/>
  <c r="AL57" i="47" s="1"/>
  <c r="C58" i="47"/>
  <c r="AC57" i="47"/>
  <c r="K56" i="47"/>
  <c r="AW56" i="47"/>
  <c r="L56" i="47"/>
  <c r="AO56" i="47"/>
  <c r="AN56" i="47"/>
  <c r="P53" i="36"/>
  <c r="Z52" i="36"/>
  <c r="C54" i="36"/>
  <c r="K53" i="36"/>
  <c r="O53" i="36" s="1"/>
  <c r="Q53" i="36" s="1"/>
  <c r="N54" i="36" s="1"/>
  <c r="J53" i="36"/>
  <c r="T53" i="36" s="1"/>
  <c r="U53" i="36"/>
  <c r="AD53" i="36"/>
  <c r="L55" i="36"/>
  <c r="W52" i="36"/>
  <c r="V52" i="36"/>
  <c r="Y52" i="36" s="1"/>
  <c r="AA52" i="36" s="1"/>
  <c r="X53" i="36" s="1"/>
  <c r="B55" i="36"/>
  <c r="I54" i="36"/>
  <c r="S54" i="36" s="1"/>
  <c r="AF52" i="36"/>
  <c r="AE52" i="36"/>
  <c r="N56" i="47" l="1"/>
  <c r="O56" i="47" s="1"/>
  <c r="M56" i="47"/>
  <c r="U56" i="47" s="1"/>
  <c r="W56" i="47" s="1"/>
  <c r="AE56" i="47"/>
  <c r="AG56" i="47" s="1"/>
  <c r="AR56" i="47"/>
  <c r="BA56" i="47"/>
  <c r="BC56" i="47" s="1"/>
  <c r="G57" i="47"/>
  <c r="N57" i="47" s="1"/>
  <c r="E58" i="47"/>
  <c r="F58" i="47"/>
  <c r="D61" i="47"/>
  <c r="AC58" i="47"/>
  <c r="J58" i="47"/>
  <c r="R58" i="47" s="1"/>
  <c r="S58" i="47" s="1"/>
  <c r="C59" i="47"/>
  <c r="AM58" i="47"/>
  <c r="AB58" i="47"/>
  <c r="AL58" i="47" s="1"/>
  <c r="L57" i="47"/>
  <c r="K57" i="47"/>
  <c r="AW57" i="47"/>
  <c r="AN57" i="47"/>
  <c r="AO57" i="47"/>
  <c r="I61" i="47"/>
  <c r="Q60" i="47"/>
  <c r="B61" i="47"/>
  <c r="AA60" i="47"/>
  <c r="AK60" i="47" s="1"/>
  <c r="AV60" i="47" s="1"/>
  <c r="T61" i="47"/>
  <c r="AD60" i="47"/>
  <c r="P54" i="36"/>
  <c r="AD54" i="36"/>
  <c r="C55" i="36"/>
  <c r="K54" i="36"/>
  <c r="O54" i="36" s="1"/>
  <c r="Q54" i="36" s="1"/>
  <c r="N55" i="36" s="1"/>
  <c r="J54" i="36"/>
  <c r="T54" i="36" s="1"/>
  <c r="U54" i="36"/>
  <c r="W53" i="36"/>
  <c r="V53" i="36"/>
  <c r="Y53" i="36" s="1"/>
  <c r="AE53" i="36"/>
  <c r="AF53" i="36"/>
  <c r="I55" i="36"/>
  <c r="S55" i="36" s="1"/>
  <c r="B56" i="36"/>
  <c r="L56" i="36"/>
  <c r="Z53" i="36"/>
  <c r="O57" i="47" l="1"/>
  <c r="AP57" i="47"/>
  <c r="AR57" i="47" s="1"/>
  <c r="AE57" i="47"/>
  <c r="AG57" i="47" s="1"/>
  <c r="BA57" i="47"/>
  <c r="BC57" i="47" s="1"/>
  <c r="M57" i="47"/>
  <c r="U57" i="47" s="1"/>
  <c r="W57" i="47" s="1"/>
  <c r="E59" i="47"/>
  <c r="F59" i="47"/>
  <c r="G58" i="47"/>
  <c r="N58" i="47" s="1"/>
  <c r="D62" i="47"/>
  <c r="AW58" i="47"/>
  <c r="L58" i="47"/>
  <c r="K58" i="47"/>
  <c r="AO58" i="47"/>
  <c r="AN58" i="47"/>
  <c r="AC59" i="47"/>
  <c r="AB59" i="47"/>
  <c r="AL59" i="47" s="1"/>
  <c r="C60" i="47"/>
  <c r="J59" i="47"/>
  <c r="R59" i="47" s="1"/>
  <c r="S59" i="47" s="1"/>
  <c r="AM59" i="47"/>
  <c r="AD61" i="47"/>
  <c r="T62" i="47"/>
  <c r="B62" i="47"/>
  <c r="AA61" i="47"/>
  <c r="AK61" i="47" s="1"/>
  <c r="AV61" i="47" s="1"/>
  <c r="Q61" i="47"/>
  <c r="I62" i="47"/>
  <c r="AA53" i="36"/>
  <c r="X54" i="36" s="1"/>
  <c r="Z54" i="36"/>
  <c r="P55" i="36"/>
  <c r="J55" i="36"/>
  <c r="T55" i="36" s="1"/>
  <c r="U55" i="36"/>
  <c r="AD55" i="36"/>
  <c r="C56" i="36"/>
  <c r="K55" i="36"/>
  <c r="O55" i="36" s="1"/>
  <c r="Q55" i="36" s="1"/>
  <c r="N56" i="36" s="1"/>
  <c r="AF54" i="36"/>
  <c r="AE54" i="36"/>
  <c r="V54" i="36"/>
  <c r="Y54" i="36" s="1"/>
  <c r="AA54" i="36" s="1"/>
  <c r="X55" i="36" s="1"/>
  <c r="W54" i="36"/>
  <c r="L57" i="36"/>
  <c r="B57" i="36"/>
  <c r="I56" i="36"/>
  <c r="S56" i="36" s="1"/>
  <c r="O58" i="47" l="1"/>
  <c r="F60" i="47"/>
  <c r="E60" i="47"/>
  <c r="M58" i="47"/>
  <c r="U58" i="47" s="1"/>
  <c r="W58" i="47" s="1"/>
  <c r="AE58" i="47"/>
  <c r="AG58" i="47" s="1"/>
  <c r="AP58" i="47"/>
  <c r="AR58" i="47" s="1"/>
  <c r="BA58" i="47"/>
  <c r="BC58" i="47" s="1"/>
  <c r="G59" i="47"/>
  <c r="N59" i="47" s="1"/>
  <c r="D63" i="47"/>
  <c r="AC60" i="47"/>
  <c r="J60" i="47"/>
  <c r="R60" i="47" s="1"/>
  <c r="S60" i="47" s="1"/>
  <c r="AM60" i="47"/>
  <c r="C61" i="47"/>
  <c r="AB60" i="47"/>
  <c r="AL60" i="47" s="1"/>
  <c r="AW59" i="47"/>
  <c r="L59" i="47"/>
  <c r="K59" i="47"/>
  <c r="I63" i="47"/>
  <c r="Q62" i="47"/>
  <c r="AA62" i="47"/>
  <c r="AK62" i="47" s="1"/>
  <c r="AV62" i="47" s="1"/>
  <c r="B63" i="47"/>
  <c r="T63" i="47"/>
  <c r="AD62" i="47"/>
  <c r="AO59" i="47"/>
  <c r="AN59" i="47"/>
  <c r="Z55" i="36"/>
  <c r="P56" i="36"/>
  <c r="C57" i="36"/>
  <c r="K56" i="36"/>
  <c r="O56" i="36" s="1"/>
  <c r="Q56" i="36" s="1"/>
  <c r="N57" i="36" s="1"/>
  <c r="J56" i="36"/>
  <c r="T56" i="36" s="1"/>
  <c r="U56" i="36"/>
  <c r="AD56" i="36"/>
  <c r="W55" i="36"/>
  <c r="V55" i="36"/>
  <c r="Y55" i="36" s="1"/>
  <c r="AA55" i="36" s="1"/>
  <c r="X56" i="36" s="1"/>
  <c r="AF55" i="36"/>
  <c r="AE55" i="36"/>
  <c r="L58" i="36"/>
  <c r="B58" i="36"/>
  <c r="I57" i="36"/>
  <c r="S57" i="36" s="1"/>
  <c r="O59" i="47" l="1"/>
  <c r="M59" i="47"/>
  <c r="U59" i="47" s="1"/>
  <c r="W59" i="47" s="1"/>
  <c r="F61" i="47"/>
  <c r="E61" i="47"/>
  <c r="AE59" i="47"/>
  <c r="AG59" i="47" s="1"/>
  <c r="AP59" i="47"/>
  <c r="BA59" i="47"/>
  <c r="BC59" i="47" s="1"/>
  <c r="AR59" i="47"/>
  <c r="G60" i="47"/>
  <c r="N60" i="47" s="1"/>
  <c r="D64" i="47"/>
  <c r="I64" i="47"/>
  <c r="Q63" i="47"/>
  <c r="K60" i="47"/>
  <c r="AW60" i="47"/>
  <c r="L60" i="47"/>
  <c r="AM61" i="47"/>
  <c r="J61" i="47"/>
  <c r="R61" i="47" s="1"/>
  <c r="S61" i="47" s="1"/>
  <c r="C62" i="47"/>
  <c r="AB61" i="47"/>
  <c r="AL61" i="47" s="1"/>
  <c r="AC61" i="47"/>
  <c r="AO60" i="47"/>
  <c r="AN60" i="47"/>
  <c r="AD63" i="47"/>
  <c r="T64" i="47"/>
  <c r="AA63" i="47"/>
  <c r="AK63" i="47" s="1"/>
  <c r="AV63" i="47" s="1"/>
  <c r="B64" i="47"/>
  <c r="Z56" i="36"/>
  <c r="P57" i="36"/>
  <c r="AE56" i="36"/>
  <c r="AF56" i="36"/>
  <c r="L59" i="36"/>
  <c r="W56" i="36"/>
  <c r="V56" i="36"/>
  <c r="Y56" i="36" s="1"/>
  <c r="AA56" i="36" s="1"/>
  <c r="X57" i="36" s="1"/>
  <c r="AD57" i="36"/>
  <c r="C58" i="36"/>
  <c r="K57" i="36"/>
  <c r="O57" i="36" s="1"/>
  <c r="U57" i="36"/>
  <c r="J57" i="36"/>
  <c r="T57" i="36" s="1"/>
  <c r="I58" i="36"/>
  <c r="S58" i="36" s="1"/>
  <c r="B59" i="36"/>
  <c r="O60" i="47" l="1"/>
  <c r="F62" i="47"/>
  <c r="E62" i="47"/>
  <c r="M60" i="47"/>
  <c r="U60" i="47" s="1"/>
  <c r="W60" i="47" s="1"/>
  <c r="AE60" i="47"/>
  <c r="AG60" i="47" s="1"/>
  <c r="AP60" i="47"/>
  <c r="AR60" i="47" s="1"/>
  <c r="BA60" i="47"/>
  <c r="BC60" i="47" s="1"/>
  <c r="D65" i="47"/>
  <c r="D66" i="47" s="1"/>
  <c r="D67" i="47" s="1"/>
  <c r="D68" i="47" s="1"/>
  <c r="D69" i="47" s="1"/>
  <c r="D70" i="47" s="1"/>
  <c r="D71" i="47" s="1"/>
  <c r="D72" i="47" s="1"/>
  <c r="D73" i="47" s="1"/>
  <c r="D74" i="47" s="1"/>
  <c r="D75" i="47" s="1"/>
  <c r="D76" i="47" s="1"/>
  <c r="AW61" i="47"/>
  <c r="C63" i="47"/>
  <c r="AM62" i="47"/>
  <c r="J62" i="47"/>
  <c r="R62" i="47" s="1"/>
  <c r="S62" i="47" s="1"/>
  <c r="AB62" i="47"/>
  <c r="AL62" i="47" s="1"/>
  <c r="AC62" i="47"/>
  <c r="AO61" i="47"/>
  <c r="AN61" i="47"/>
  <c r="AA64" i="47"/>
  <c r="AK64" i="47" s="1"/>
  <c r="AV64" i="47" s="1"/>
  <c r="B65" i="47"/>
  <c r="Q64" i="47"/>
  <c r="I65" i="47"/>
  <c r="T65" i="47"/>
  <c r="AD64" i="47"/>
  <c r="Q57" i="36"/>
  <c r="N58" i="36" s="1"/>
  <c r="Z57" i="36"/>
  <c r="P58" i="36"/>
  <c r="J58" i="36"/>
  <c r="T58" i="36" s="1"/>
  <c r="U58" i="36"/>
  <c r="AD58" i="36"/>
  <c r="K58" i="36"/>
  <c r="O58" i="36" s="1"/>
  <c r="Q58" i="36" s="1"/>
  <c r="N59" i="36" s="1"/>
  <c r="C59" i="36"/>
  <c r="AF57" i="36"/>
  <c r="AE57" i="36"/>
  <c r="V57" i="36"/>
  <c r="Y57" i="36" s="1"/>
  <c r="AA57" i="36" s="1"/>
  <c r="X58" i="36" s="1"/>
  <c r="W57" i="36"/>
  <c r="L60" i="36"/>
  <c r="B60" i="36"/>
  <c r="I59" i="36"/>
  <c r="S59" i="36" s="1"/>
  <c r="F63" i="47" l="1"/>
  <c r="E63" i="47"/>
  <c r="AW62" i="47"/>
  <c r="AO62" i="47"/>
  <c r="AN62" i="47"/>
  <c r="AD65" i="47"/>
  <c r="Q65" i="47"/>
  <c r="I66" i="47"/>
  <c r="C64" i="47"/>
  <c r="J63" i="47"/>
  <c r="R63" i="47" s="1"/>
  <c r="S63" i="47" s="1"/>
  <c r="AC63" i="47"/>
  <c r="AB63" i="47"/>
  <c r="AL63" i="47" s="1"/>
  <c r="AM63" i="47"/>
  <c r="T66" i="47"/>
  <c r="B66" i="47"/>
  <c r="AA65" i="47"/>
  <c r="AK65" i="47" s="1"/>
  <c r="AV65" i="47" s="1"/>
  <c r="Z58" i="36"/>
  <c r="P59" i="36"/>
  <c r="AF58" i="36"/>
  <c r="AE58" i="36"/>
  <c r="W58" i="36"/>
  <c r="V58" i="36"/>
  <c r="Y58" i="36" s="1"/>
  <c r="AA58" i="36" s="1"/>
  <c r="X59" i="36" s="1"/>
  <c r="C60" i="36"/>
  <c r="K59" i="36"/>
  <c r="O59" i="36" s="1"/>
  <c r="Q59" i="36" s="1"/>
  <c r="N60" i="36" s="1"/>
  <c r="J59" i="36"/>
  <c r="T59" i="36" s="1"/>
  <c r="U59" i="36"/>
  <c r="AD59" i="36"/>
  <c r="B61" i="36"/>
  <c r="I60" i="36"/>
  <c r="S60" i="36" s="1"/>
  <c r="L61" i="36"/>
  <c r="F64" i="47" l="1"/>
  <c r="E64" i="47"/>
  <c r="AM64" i="47"/>
  <c r="AC64" i="47"/>
  <c r="AB64" i="47"/>
  <c r="AL64" i="47" s="1"/>
  <c r="J64" i="47"/>
  <c r="R64" i="47" s="1"/>
  <c r="S64" i="47" s="1"/>
  <c r="C65" i="47"/>
  <c r="Q66" i="47"/>
  <c r="I67" i="47"/>
  <c r="AD66" i="47"/>
  <c r="B67" i="47"/>
  <c r="AA66" i="47"/>
  <c r="AK66" i="47" s="1"/>
  <c r="AV66" i="47" s="1"/>
  <c r="T67" i="47"/>
  <c r="AN63" i="47"/>
  <c r="AO63" i="47"/>
  <c r="AW63" i="47"/>
  <c r="P60" i="36"/>
  <c r="Z59" i="36"/>
  <c r="W59" i="36"/>
  <c r="V59" i="36"/>
  <c r="Y59" i="36" s="1"/>
  <c r="AA59" i="36" s="1"/>
  <c r="X60" i="36" s="1"/>
  <c r="AE59" i="36"/>
  <c r="AF59" i="36"/>
  <c r="L62" i="36"/>
  <c r="I61" i="36"/>
  <c r="S61" i="36" s="1"/>
  <c r="B62" i="36"/>
  <c r="AD60" i="36"/>
  <c r="C61" i="36"/>
  <c r="K60" i="36"/>
  <c r="O60" i="36" s="1"/>
  <c r="Q60" i="36" s="1"/>
  <c r="N61" i="36" s="1"/>
  <c r="U60" i="36"/>
  <c r="J60" i="36"/>
  <c r="T60" i="36" s="1"/>
  <c r="F65" i="47" l="1"/>
  <c r="E65" i="47"/>
  <c r="G64" i="47"/>
  <c r="B68" i="47"/>
  <c r="AA67" i="47"/>
  <c r="AK67" i="47" s="1"/>
  <c r="AV67" i="47" s="1"/>
  <c r="AD67" i="47"/>
  <c r="Q67" i="47"/>
  <c r="I68" i="47"/>
  <c r="AC65" i="47"/>
  <c r="J65" i="47"/>
  <c r="R65" i="47" s="1"/>
  <c r="S65" i="47" s="1"/>
  <c r="AM65" i="47"/>
  <c r="AB65" i="47"/>
  <c r="AL65" i="47" s="1"/>
  <c r="C66" i="47"/>
  <c r="AW64" i="47"/>
  <c r="L64" i="47"/>
  <c r="M64" i="47" s="1"/>
  <c r="U64" i="47" s="1"/>
  <c r="W64" i="47" s="1"/>
  <c r="K64" i="47"/>
  <c r="N64" i="47"/>
  <c r="AN64" i="47"/>
  <c r="AO64" i="47"/>
  <c r="T68" i="47"/>
  <c r="P61" i="36"/>
  <c r="Z60" i="36"/>
  <c r="B63" i="36"/>
  <c r="I62" i="36"/>
  <c r="S62" i="36" s="1"/>
  <c r="L63" i="36"/>
  <c r="J61" i="36"/>
  <c r="T61" i="36" s="1"/>
  <c r="U61" i="36"/>
  <c r="AD61" i="36"/>
  <c r="K61" i="36"/>
  <c r="O61" i="36" s="1"/>
  <c r="Q61" i="36" s="1"/>
  <c r="N62" i="36" s="1"/>
  <c r="C62" i="36"/>
  <c r="AF60" i="36"/>
  <c r="AE60" i="36"/>
  <c r="V60" i="36"/>
  <c r="Y60" i="36" s="1"/>
  <c r="AA60" i="36" s="1"/>
  <c r="X61" i="36" s="1"/>
  <c r="W60" i="36"/>
  <c r="O64" i="47" l="1"/>
  <c r="F66" i="47"/>
  <c r="E66" i="47"/>
  <c r="G65" i="47"/>
  <c r="BA64" i="47"/>
  <c r="BC64" i="47" s="1"/>
  <c r="AP64" i="47"/>
  <c r="AR64" i="47" s="1"/>
  <c r="AE64" i="47"/>
  <c r="AG64" i="47" s="1"/>
  <c r="AB66" i="47"/>
  <c r="AL66" i="47" s="1"/>
  <c r="AC66" i="47"/>
  <c r="J66" i="47"/>
  <c r="R66" i="47" s="1"/>
  <c r="S66" i="47" s="1"/>
  <c r="C67" i="47"/>
  <c r="L65" i="47"/>
  <c r="M65" i="47" s="1"/>
  <c r="U65" i="47" s="1"/>
  <c r="W65" i="47" s="1"/>
  <c r="AW65" i="47"/>
  <c r="K65" i="47"/>
  <c r="N65" i="47"/>
  <c r="AO65" i="47"/>
  <c r="AN65" i="47"/>
  <c r="I69" i="47"/>
  <c r="Q68" i="47"/>
  <c r="T69" i="47"/>
  <c r="AD68" i="47"/>
  <c r="AA68" i="47"/>
  <c r="AK68" i="47" s="1"/>
  <c r="AV68" i="47" s="1"/>
  <c r="B69" i="47"/>
  <c r="P62" i="36"/>
  <c r="Z61" i="36"/>
  <c r="AF61" i="36"/>
  <c r="AE61" i="36"/>
  <c r="L64" i="36"/>
  <c r="W61" i="36"/>
  <c r="V61" i="36"/>
  <c r="Y61" i="36" s="1"/>
  <c r="AA61" i="36" s="1"/>
  <c r="X62" i="36" s="1"/>
  <c r="B64" i="36"/>
  <c r="I63" i="36"/>
  <c r="S63" i="36" s="1"/>
  <c r="C63" i="36"/>
  <c r="K62" i="36"/>
  <c r="O62" i="36" s="1"/>
  <c r="Q62" i="36" s="1"/>
  <c r="N63" i="36" s="1"/>
  <c r="J62" i="36"/>
  <c r="T62" i="36" s="1"/>
  <c r="U62" i="36"/>
  <c r="AD62" i="36"/>
  <c r="BA65" i="47" l="1"/>
  <c r="BC65" i="47" s="1"/>
  <c r="AP65" i="47"/>
  <c r="AR65" i="47" s="1"/>
  <c r="AE65" i="47"/>
  <c r="AG65" i="47" s="1"/>
  <c r="G66" i="47"/>
  <c r="F67" i="47"/>
  <c r="E67" i="47"/>
  <c r="G67" i="47" s="1"/>
  <c r="O65" i="47"/>
  <c r="Q69" i="47"/>
  <c r="I70" i="47"/>
  <c r="C68" i="47"/>
  <c r="AC67" i="47"/>
  <c r="AB67" i="47"/>
  <c r="AL67" i="47" s="1"/>
  <c r="J67" i="47"/>
  <c r="R67" i="47" s="1"/>
  <c r="B70" i="47"/>
  <c r="AA69" i="47"/>
  <c r="AK69" i="47" s="1"/>
  <c r="AV69" i="47" s="1"/>
  <c r="AW66" i="47"/>
  <c r="L66" i="47"/>
  <c r="K66" i="47"/>
  <c r="AD69" i="47"/>
  <c r="T70" i="47"/>
  <c r="P63" i="36"/>
  <c r="Z62" i="36"/>
  <c r="I64" i="36"/>
  <c r="S64" i="36" s="1"/>
  <c r="B65" i="36"/>
  <c r="L65" i="36"/>
  <c r="W62" i="36"/>
  <c r="V62" i="36"/>
  <c r="Y62" i="36" s="1"/>
  <c r="AA62" i="36" s="1"/>
  <c r="X63" i="36" s="1"/>
  <c r="AE62" i="36"/>
  <c r="AF62" i="36"/>
  <c r="AD63" i="36"/>
  <c r="C64" i="36"/>
  <c r="K63" i="36"/>
  <c r="O63" i="36" s="1"/>
  <c r="Q63" i="36" s="1"/>
  <c r="N64" i="36" s="1"/>
  <c r="U63" i="36"/>
  <c r="J63" i="36"/>
  <c r="T63" i="36" s="1"/>
  <c r="M66" i="47" l="1"/>
  <c r="U66" i="47" s="1"/>
  <c r="W66" i="47" s="1"/>
  <c r="BA67" i="47"/>
  <c r="BC67" i="47" s="1"/>
  <c r="AP67" i="47"/>
  <c r="AR67" i="47" s="1"/>
  <c r="AE67" i="47"/>
  <c r="AG67" i="47" s="1"/>
  <c r="BA66" i="47"/>
  <c r="BC66" i="47" s="1"/>
  <c r="AP66" i="47"/>
  <c r="AR66" i="47" s="1"/>
  <c r="AE66" i="47"/>
  <c r="AG66" i="47" s="1"/>
  <c r="N66" i="47"/>
  <c r="O66" i="47" s="1"/>
  <c r="F68" i="47"/>
  <c r="E68" i="47"/>
  <c r="J68" i="47"/>
  <c r="R68" i="47" s="1"/>
  <c r="S68" i="47" s="1"/>
  <c r="C69" i="47"/>
  <c r="AC68" i="47"/>
  <c r="AB68" i="47"/>
  <c r="AL68" i="47" s="1"/>
  <c r="T71" i="47"/>
  <c r="AD70" i="47"/>
  <c r="Q70" i="47"/>
  <c r="I71" i="47"/>
  <c r="B71" i="47"/>
  <c r="AA70" i="47"/>
  <c r="AK70" i="47" s="1"/>
  <c r="AV70" i="47" s="1"/>
  <c r="L67" i="47"/>
  <c r="M67" i="47" s="1"/>
  <c r="U67" i="47" s="1"/>
  <c r="W67" i="47" s="1"/>
  <c r="K67" i="47"/>
  <c r="AW67" i="47"/>
  <c r="N67" i="47"/>
  <c r="P64" i="36"/>
  <c r="Z63" i="36"/>
  <c r="L66" i="36"/>
  <c r="V63" i="36"/>
  <c r="Y63" i="36" s="1"/>
  <c r="AA63" i="36" s="1"/>
  <c r="X64" i="36" s="1"/>
  <c r="W63" i="36"/>
  <c r="J64" i="36"/>
  <c r="T64" i="36" s="1"/>
  <c r="U64" i="36"/>
  <c r="AD64" i="36"/>
  <c r="K64" i="36"/>
  <c r="O64" i="36" s="1"/>
  <c r="Q64" i="36" s="1"/>
  <c r="N65" i="36" s="1"/>
  <c r="C65" i="36"/>
  <c r="B66" i="36"/>
  <c r="I65" i="36"/>
  <c r="S65" i="36" s="1"/>
  <c r="AF63" i="36"/>
  <c r="AE63" i="36"/>
  <c r="G68" i="47" l="1"/>
  <c r="AP68" i="47" s="1"/>
  <c r="AR68" i="47" s="1"/>
  <c r="F69" i="47"/>
  <c r="E69" i="47"/>
  <c r="O67" i="47"/>
  <c r="I72" i="47"/>
  <c r="Q71" i="47"/>
  <c r="AD71" i="47"/>
  <c r="T72" i="47"/>
  <c r="M68" i="47"/>
  <c r="U68" i="47" s="1"/>
  <c r="W68" i="47" s="1"/>
  <c r="L68" i="47"/>
  <c r="K68" i="47"/>
  <c r="AW68" i="47"/>
  <c r="N68" i="47"/>
  <c r="J69" i="47"/>
  <c r="R69" i="47" s="1"/>
  <c r="S69" i="47" s="1"/>
  <c r="C70" i="47"/>
  <c r="AC69" i="47"/>
  <c r="AB69" i="47"/>
  <c r="AL69" i="47" s="1"/>
  <c r="AA71" i="47"/>
  <c r="AK71" i="47" s="1"/>
  <c r="AV71" i="47" s="1"/>
  <c r="B72" i="47"/>
  <c r="P65" i="36"/>
  <c r="Z64" i="36"/>
  <c r="AF64" i="36"/>
  <c r="AE64" i="36"/>
  <c r="W64" i="36"/>
  <c r="V64" i="36"/>
  <c r="Y64" i="36" s="1"/>
  <c r="AA64" i="36" s="1"/>
  <c r="X65" i="36" s="1"/>
  <c r="L67" i="36"/>
  <c r="B67" i="36"/>
  <c r="I66" i="36"/>
  <c r="S66" i="36" s="1"/>
  <c r="C66" i="36"/>
  <c r="K65" i="36"/>
  <c r="O65" i="36" s="1"/>
  <c r="Q65" i="36" s="1"/>
  <c r="N66" i="36" s="1"/>
  <c r="J65" i="36"/>
  <c r="T65" i="36" s="1"/>
  <c r="U65" i="36"/>
  <c r="AD65" i="36"/>
  <c r="O68" i="47" l="1"/>
  <c r="BA68" i="47"/>
  <c r="BC68" i="47" s="1"/>
  <c r="AE68" i="47"/>
  <c r="AG68" i="47" s="1"/>
  <c r="G69" i="47"/>
  <c r="F70" i="47"/>
  <c r="E70" i="47"/>
  <c r="AE69" i="47"/>
  <c r="AG69" i="47" s="1"/>
  <c r="BA69" i="47"/>
  <c r="BC69" i="47" s="1"/>
  <c r="AP69" i="47"/>
  <c r="AR69" i="47" s="1"/>
  <c r="T73" i="47"/>
  <c r="AD72" i="47"/>
  <c r="B73" i="47"/>
  <c r="AA72" i="47"/>
  <c r="AK72" i="47" s="1"/>
  <c r="AV72" i="47" s="1"/>
  <c r="I73" i="47"/>
  <c r="Q72" i="47"/>
  <c r="M69" i="47"/>
  <c r="U69" i="47" s="1"/>
  <c r="W69" i="47" s="1"/>
  <c r="L69" i="47"/>
  <c r="K69" i="47"/>
  <c r="AW69" i="47"/>
  <c r="N69" i="47"/>
  <c r="AC70" i="47"/>
  <c r="C71" i="47"/>
  <c r="AB70" i="47"/>
  <c r="AL70" i="47" s="1"/>
  <c r="J70" i="47"/>
  <c r="R70" i="47" s="1"/>
  <c r="S70" i="47" s="1"/>
  <c r="P66" i="36"/>
  <c r="Z65" i="36"/>
  <c r="L68" i="36"/>
  <c r="W65" i="36"/>
  <c r="V65" i="36"/>
  <c r="Y65" i="36" s="1"/>
  <c r="AA65" i="36" s="1"/>
  <c r="X66" i="36" s="1"/>
  <c r="I67" i="36"/>
  <c r="S67" i="36" s="1"/>
  <c r="B68" i="36"/>
  <c r="AE65" i="36"/>
  <c r="AF65" i="36"/>
  <c r="AD66" i="36"/>
  <c r="C67" i="36"/>
  <c r="K66" i="36"/>
  <c r="O66" i="36" s="1"/>
  <c r="Q66" i="36" s="1"/>
  <c r="N67" i="36" s="1"/>
  <c r="U66" i="36"/>
  <c r="J66" i="36"/>
  <c r="T66" i="36" s="1"/>
  <c r="E71" i="47" l="1"/>
  <c r="F71" i="47"/>
  <c r="G70" i="47"/>
  <c r="Q73" i="47"/>
  <c r="I74" i="47"/>
  <c r="B74" i="47"/>
  <c r="AA73" i="47"/>
  <c r="AK73" i="47" s="1"/>
  <c r="AV73" i="47" s="1"/>
  <c r="AD73" i="47"/>
  <c r="T74" i="47"/>
  <c r="M70" i="47"/>
  <c r="U70" i="47" s="1"/>
  <c r="W70" i="47" s="1"/>
  <c r="L70" i="47"/>
  <c r="AW70" i="47"/>
  <c r="K70" i="47"/>
  <c r="N70" i="47"/>
  <c r="AB71" i="47"/>
  <c r="AL71" i="47" s="1"/>
  <c r="AC71" i="47"/>
  <c r="C72" i="47"/>
  <c r="J71" i="47"/>
  <c r="R71" i="47" s="1"/>
  <c r="S71" i="47" s="1"/>
  <c r="O69" i="47"/>
  <c r="P67" i="36"/>
  <c r="Z66" i="36"/>
  <c r="B69" i="36"/>
  <c r="I68" i="36"/>
  <c r="S68" i="36" s="1"/>
  <c r="L69" i="36"/>
  <c r="AF66" i="36"/>
  <c r="AE66" i="36"/>
  <c r="V66" i="36"/>
  <c r="Y66" i="36" s="1"/>
  <c r="AA66" i="36" s="1"/>
  <c r="X67" i="36" s="1"/>
  <c r="W66" i="36"/>
  <c r="J67" i="36"/>
  <c r="T67" i="36" s="1"/>
  <c r="U67" i="36"/>
  <c r="AD67" i="36"/>
  <c r="C68" i="36"/>
  <c r="K67" i="36"/>
  <c r="O67" i="36" s="1"/>
  <c r="Q67" i="36" s="1"/>
  <c r="N68" i="36" s="1"/>
  <c r="G71" i="47" l="1"/>
  <c r="AE71" i="47" s="1"/>
  <c r="AG71" i="47" s="1"/>
  <c r="BA70" i="47"/>
  <c r="BC70" i="47" s="1"/>
  <c r="AE70" i="47"/>
  <c r="AG70" i="47" s="1"/>
  <c r="AP70" i="47"/>
  <c r="AR70" i="47" s="1"/>
  <c r="E72" i="47"/>
  <c r="F72" i="47"/>
  <c r="T75" i="47"/>
  <c r="AD74" i="47"/>
  <c r="B75" i="47"/>
  <c r="AA74" i="47"/>
  <c r="AK74" i="47" s="1"/>
  <c r="AV74" i="47" s="1"/>
  <c r="I75" i="47"/>
  <c r="Q74" i="47"/>
  <c r="C73" i="47"/>
  <c r="AC72" i="47"/>
  <c r="AB72" i="47"/>
  <c r="AL72" i="47" s="1"/>
  <c r="J72" i="47"/>
  <c r="R72" i="47" s="1"/>
  <c r="S72" i="47" s="1"/>
  <c r="AW71" i="47"/>
  <c r="K71" i="47"/>
  <c r="M71" i="47"/>
  <c r="U71" i="47" s="1"/>
  <c r="W71" i="47" s="1"/>
  <c r="L71" i="47"/>
  <c r="N71" i="47"/>
  <c r="O70" i="47"/>
  <c r="Z67" i="36"/>
  <c r="P68" i="36"/>
  <c r="L70" i="36"/>
  <c r="B70" i="36"/>
  <c r="I69" i="36"/>
  <c r="S69" i="36" s="1"/>
  <c r="C69" i="36"/>
  <c r="K68" i="36"/>
  <c r="O68" i="36" s="1"/>
  <c r="Q68" i="36" s="1"/>
  <c r="N69" i="36" s="1"/>
  <c r="J68" i="36"/>
  <c r="T68" i="36" s="1"/>
  <c r="U68" i="36"/>
  <c r="AD68" i="36"/>
  <c r="W67" i="36"/>
  <c r="V67" i="36"/>
  <c r="Y67" i="36" s="1"/>
  <c r="AA67" i="36" s="1"/>
  <c r="X68" i="36" s="1"/>
  <c r="AF67" i="36"/>
  <c r="AE67" i="36"/>
  <c r="AP71" i="47" l="1"/>
  <c r="AR71" i="47" s="1"/>
  <c r="BA71" i="47"/>
  <c r="BC71" i="47" s="1"/>
  <c r="E73" i="47"/>
  <c r="F73" i="47"/>
  <c r="G72" i="47"/>
  <c r="O71" i="47"/>
  <c r="T76" i="47"/>
  <c r="M72" i="47"/>
  <c r="U72" i="47" s="1"/>
  <c r="W72" i="47" s="1"/>
  <c r="L72" i="47"/>
  <c r="K72" i="47"/>
  <c r="AW72" i="47"/>
  <c r="N72" i="47"/>
  <c r="O72" i="47" s="1"/>
  <c r="J73" i="47"/>
  <c r="R73" i="47" s="1"/>
  <c r="S73" i="47" s="1"/>
  <c r="C74" i="47"/>
  <c r="AC73" i="47"/>
  <c r="AB73" i="47"/>
  <c r="AL73" i="47" s="1"/>
  <c r="I76" i="47"/>
  <c r="Q76" i="47" s="1"/>
  <c r="Q75" i="47"/>
  <c r="B76" i="47"/>
  <c r="AA76" i="47" s="1"/>
  <c r="AK76" i="47" s="1"/>
  <c r="AV76" i="47" s="1"/>
  <c r="AA75" i="47"/>
  <c r="AK75" i="47" s="1"/>
  <c r="AV75" i="47" s="1"/>
  <c r="AD75" i="47"/>
  <c r="Z68" i="36"/>
  <c r="P69" i="36"/>
  <c r="W68" i="36"/>
  <c r="V68" i="36"/>
  <c r="Y68" i="36" s="1"/>
  <c r="AA68" i="36" s="1"/>
  <c r="X69" i="36" s="1"/>
  <c r="AE68" i="36"/>
  <c r="AF68" i="36"/>
  <c r="I70" i="36"/>
  <c r="S70" i="36" s="1"/>
  <c r="B71" i="36"/>
  <c r="L71" i="36"/>
  <c r="AD69" i="36"/>
  <c r="C70" i="36"/>
  <c r="K69" i="36"/>
  <c r="O69" i="36" s="1"/>
  <c r="Q69" i="36" s="1"/>
  <c r="N70" i="36" s="1"/>
  <c r="J69" i="36"/>
  <c r="T69" i="36" s="1"/>
  <c r="U69" i="36"/>
  <c r="G73" i="47" l="1"/>
  <c r="AE73" i="47" s="1"/>
  <c r="AG73" i="47" s="1"/>
  <c r="E74" i="47"/>
  <c r="F74" i="47"/>
  <c r="AP72" i="47"/>
  <c r="AR72" i="47" s="1"/>
  <c r="AE72" i="47"/>
  <c r="AG72" i="47" s="1"/>
  <c r="BA72" i="47"/>
  <c r="BC72" i="47" s="1"/>
  <c r="J74" i="47"/>
  <c r="R74" i="47" s="1"/>
  <c r="S74" i="47" s="1"/>
  <c r="C75" i="47"/>
  <c r="AC74" i="47"/>
  <c r="AB74" i="47"/>
  <c r="AL74" i="47" s="1"/>
  <c r="AD76" i="47"/>
  <c r="M73" i="47"/>
  <c r="U73" i="47" s="1"/>
  <c r="W73" i="47" s="1"/>
  <c r="K73" i="47"/>
  <c r="L73" i="47"/>
  <c r="AW73" i="47"/>
  <c r="N73" i="47"/>
  <c r="O73" i="47" s="1"/>
  <c r="P70" i="36"/>
  <c r="Z69" i="36"/>
  <c r="B72" i="36"/>
  <c r="I71" i="36"/>
  <c r="S71" i="36" s="1"/>
  <c r="L72" i="36"/>
  <c r="V69" i="36"/>
  <c r="Y69" i="36" s="1"/>
  <c r="AA69" i="36" s="1"/>
  <c r="X70" i="36" s="1"/>
  <c r="W69" i="36"/>
  <c r="J70" i="36"/>
  <c r="T70" i="36" s="1"/>
  <c r="U70" i="36"/>
  <c r="AD70" i="36"/>
  <c r="K70" i="36"/>
  <c r="O70" i="36" s="1"/>
  <c r="Q70" i="36" s="1"/>
  <c r="N71" i="36" s="1"/>
  <c r="C71" i="36"/>
  <c r="AF69" i="36"/>
  <c r="AE69" i="36"/>
  <c r="AP73" i="47" l="1"/>
  <c r="AR73" i="47" s="1"/>
  <c r="BA73" i="47"/>
  <c r="BC73" i="47" s="1"/>
  <c r="E75" i="47"/>
  <c r="F75" i="47"/>
  <c r="G74" i="47"/>
  <c r="K74" i="47"/>
  <c r="AW74" i="47"/>
  <c r="M74" i="47"/>
  <c r="U74" i="47" s="1"/>
  <c r="W74" i="47" s="1"/>
  <c r="L74" i="47"/>
  <c r="N74" i="47"/>
  <c r="J75" i="47"/>
  <c r="R75" i="47" s="1"/>
  <c r="S75" i="47" s="1"/>
  <c r="C76" i="47"/>
  <c r="AC75" i="47"/>
  <c r="AB75" i="47"/>
  <c r="AL75" i="47" s="1"/>
  <c r="P71" i="36"/>
  <c r="Z70" i="36"/>
  <c r="W70" i="36"/>
  <c r="V70" i="36"/>
  <c r="Y70" i="36" s="1"/>
  <c r="AA70" i="36" s="1"/>
  <c r="X71" i="36" s="1"/>
  <c r="L73" i="36"/>
  <c r="B73" i="36"/>
  <c r="I72" i="36"/>
  <c r="S72" i="36" s="1"/>
  <c r="AF70" i="36"/>
  <c r="AE70" i="36"/>
  <c r="C72" i="36"/>
  <c r="K71" i="36"/>
  <c r="O71" i="36" s="1"/>
  <c r="Q71" i="36" s="1"/>
  <c r="N72" i="36" s="1"/>
  <c r="J71" i="36"/>
  <c r="T71" i="36" s="1"/>
  <c r="U71" i="36"/>
  <c r="AD71" i="36"/>
  <c r="O74" i="47" l="1"/>
  <c r="G75" i="47"/>
  <c r="AP75" i="47" s="1"/>
  <c r="AR75" i="47" s="1"/>
  <c r="BA74" i="47"/>
  <c r="BC74" i="47" s="1"/>
  <c r="AP74" i="47"/>
  <c r="AR74" i="47" s="1"/>
  <c r="AE74" i="47"/>
  <c r="AG74" i="47" s="1"/>
  <c r="E76" i="47"/>
  <c r="F76" i="47"/>
  <c r="F21" i="47" s="1"/>
  <c r="G21" i="47" s="1"/>
  <c r="M75" i="47"/>
  <c r="U75" i="47" s="1"/>
  <c r="W75" i="47" s="1"/>
  <c r="L75" i="47"/>
  <c r="K75" i="47"/>
  <c r="AW75" i="47"/>
  <c r="N75" i="47"/>
  <c r="O75" i="47" s="1"/>
  <c r="J76" i="47"/>
  <c r="R76" i="47" s="1"/>
  <c r="S76" i="47" s="1"/>
  <c r="AC76" i="47"/>
  <c r="AB76" i="47"/>
  <c r="AL76" i="47" s="1"/>
  <c r="P72" i="36"/>
  <c r="Z71" i="36"/>
  <c r="B74" i="36"/>
  <c r="I73" i="36"/>
  <c r="S73" i="36" s="1"/>
  <c r="W71" i="36"/>
  <c r="V71" i="36"/>
  <c r="Y71" i="36" s="1"/>
  <c r="AA71" i="36" s="1"/>
  <c r="X72" i="36" s="1"/>
  <c r="L74" i="36"/>
  <c r="AE71" i="36"/>
  <c r="AF71" i="36"/>
  <c r="AD72" i="36"/>
  <c r="C73" i="36"/>
  <c r="K72" i="36"/>
  <c r="O72" i="36" s="1"/>
  <c r="Q72" i="36" s="1"/>
  <c r="N73" i="36" s="1"/>
  <c r="J72" i="36"/>
  <c r="T72" i="36" s="1"/>
  <c r="U72" i="36"/>
  <c r="AE75" i="47" l="1"/>
  <c r="AG75" i="47" s="1"/>
  <c r="BA75" i="47"/>
  <c r="BC75" i="47" s="1"/>
  <c r="G76" i="47"/>
  <c r="M76" i="47"/>
  <c r="U76" i="47" s="1"/>
  <c r="W76" i="47" s="1"/>
  <c r="AW76" i="47"/>
  <c r="L76" i="47"/>
  <c r="K76" i="47"/>
  <c r="N76" i="47"/>
  <c r="P73" i="36"/>
  <c r="Z72" i="36"/>
  <c r="AE72" i="36"/>
  <c r="AF72" i="36"/>
  <c r="L75" i="36"/>
  <c r="W72" i="36"/>
  <c r="V72" i="36"/>
  <c r="Y72" i="36" s="1"/>
  <c r="AA72" i="36" s="1"/>
  <c r="X73" i="36" s="1"/>
  <c r="U73" i="36"/>
  <c r="AD73" i="36"/>
  <c r="C74" i="36"/>
  <c r="K73" i="36"/>
  <c r="O73" i="36" s="1"/>
  <c r="Q73" i="36" s="1"/>
  <c r="N74" i="36" s="1"/>
  <c r="J73" i="36"/>
  <c r="T73" i="36" s="1"/>
  <c r="I74" i="36"/>
  <c r="S74" i="36" s="1"/>
  <c r="B75" i="36"/>
  <c r="BA76" i="47" l="1"/>
  <c r="BC76" i="47" s="1"/>
  <c r="AP76" i="47"/>
  <c r="AR76" i="47" s="1"/>
  <c r="AE76" i="47"/>
  <c r="AG76" i="47" s="1"/>
  <c r="O76" i="47"/>
  <c r="P74" i="36"/>
  <c r="Z73" i="36"/>
  <c r="W73" i="36"/>
  <c r="V73" i="36"/>
  <c r="Y73" i="36" s="1"/>
  <c r="AA73" i="36" s="1"/>
  <c r="X74" i="36" s="1"/>
  <c r="L76" i="36"/>
  <c r="B76" i="36"/>
  <c r="I75" i="36"/>
  <c r="S75" i="36" s="1"/>
  <c r="AF73" i="36"/>
  <c r="AE73" i="36"/>
  <c r="K74" i="36"/>
  <c r="O74" i="36" s="1"/>
  <c r="Q74" i="36" s="1"/>
  <c r="N75" i="36" s="1"/>
  <c r="J74" i="36"/>
  <c r="T74" i="36" s="1"/>
  <c r="U74" i="36"/>
  <c r="AD74" i="36"/>
  <c r="C75" i="36"/>
  <c r="P75" i="36" l="1"/>
  <c r="Z74" i="36"/>
  <c r="L77" i="36"/>
  <c r="B77" i="36"/>
  <c r="I77" i="36" s="1"/>
  <c r="S77" i="36" s="1"/>
  <c r="I76" i="36"/>
  <c r="S76" i="36" s="1"/>
  <c r="C76" i="36"/>
  <c r="K75" i="36"/>
  <c r="O75" i="36" s="1"/>
  <c r="J75" i="36"/>
  <c r="T75" i="36" s="1"/>
  <c r="U75" i="36"/>
  <c r="AD75" i="36"/>
  <c r="W74" i="36"/>
  <c r="V74" i="36"/>
  <c r="Y74" i="36" s="1"/>
  <c r="AF74" i="36"/>
  <c r="AE74" i="36"/>
  <c r="AA74" i="36" l="1"/>
  <c r="X75" i="36" s="1"/>
  <c r="Q75" i="36"/>
  <c r="N76" i="36" s="1"/>
  <c r="P76" i="36"/>
  <c r="Z75" i="36"/>
  <c r="AE75" i="36"/>
  <c r="AF75" i="36"/>
  <c r="W75" i="36"/>
  <c r="V75" i="36"/>
  <c r="Y75" i="36" s="1"/>
  <c r="AD76" i="36"/>
  <c r="C77" i="36"/>
  <c r="K76" i="36"/>
  <c r="O76" i="36" s="1"/>
  <c r="J76" i="36"/>
  <c r="T76" i="36" s="1"/>
  <c r="U76" i="36"/>
  <c r="Q76" i="36" l="1"/>
  <c r="N77" i="36" s="1"/>
  <c r="AA75" i="36"/>
  <c r="X76" i="36" s="1"/>
  <c r="Z76" i="36"/>
  <c r="P77" i="36"/>
  <c r="AE76" i="36"/>
  <c r="AF76" i="36"/>
  <c r="U77" i="36"/>
  <c r="AD77" i="36"/>
  <c r="K77" i="36"/>
  <c r="O77" i="36" s="1"/>
  <c r="Q77" i="36" s="1"/>
  <c r="X13" i="36" s="1"/>
  <c r="J77" i="36"/>
  <c r="T77" i="36" s="1"/>
  <c r="W76" i="36"/>
  <c r="V76" i="36"/>
  <c r="Y76" i="36" s="1"/>
  <c r="AA76" i="36" s="1"/>
  <c r="X77" i="36" s="1"/>
  <c r="Z77" i="36" l="1"/>
  <c r="AF77" i="36"/>
  <c r="AE77" i="36"/>
  <c r="N12" i="36" s="1"/>
  <c r="V77" i="36"/>
  <c r="Y77" i="36" s="1"/>
  <c r="AA77" i="36" s="1"/>
  <c r="X15" i="36" s="1"/>
  <c r="X16" i="36" s="1"/>
  <c r="W77" i="36"/>
  <c r="AM28" i="36" l="1"/>
  <c r="AJ29" i="36" s="1"/>
  <c r="X18" i="36"/>
  <c r="X19" i="36" s="1"/>
  <c r="N13" i="36"/>
  <c r="N14" i="36" s="1"/>
  <c r="X22" i="36" a="1"/>
  <c r="X21" i="36" a="1"/>
  <c r="X22" i="36" l="1"/>
  <c r="W22" i="36" s="1"/>
  <c r="X21" i="36"/>
  <c r="W21" i="36" s="1"/>
  <c r="AK29" i="36"/>
  <c r="AK30" i="36" s="1"/>
  <c r="AK31" i="36" s="1"/>
  <c r="AK32" i="36" s="1"/>
  <c r="AK33" i="36" s="1"/>
  <c r="AK34" i="36" s="1"/>
  <c r="AK35" i="36" s="1"/>
  <c r="AK36" i="36" s="1"/>
  <c r="AK37" i="36" s="1"/>
  <c r="AK38" i="36" s="1"/>
  <c r="AK39" i="36" s="1"/>
  <c r="AK40" i="36" s="1"/>
  <c r="AK41" i="36" s="1"/>
  <c r="AK42" i="36" s="1"/>
  <c r="AK43" i="36" s="1"/>
  <c r="AK44" i="36" s="1"/>
  <c r="AK45" i="36" s="1"/>
  <c r="AK46" i="36" s="1"/>
  <c r="AK47" i="36" s="1"/>
  <c r="AK48" i="36" s="1"/>
  <c r="AK49" i="36" s="1"/>
  <c r="AK50" i="36" s="1"/>
  <c r="AK51" i="36" s="1"/>
  <c r="AK52" i="36" s="1"/>
  <c r="AK53" i="36" s="1"/>
  <c r="AK54" i="36" s="1"/>
  <c r="AK55" i="36" s="1"/>
  <c r="AK56" i="36" s="1"/>
  <c r="AK57" i="36" s="1"/>
  <c r="AK58" i="36" s="1"/>
  <c r="AK59" i="36" s="1"/>
  <c r="AK60" i="36" s="1"/>
  <c r="AK61" i="36" s="1"/>
  <c r="AK62" i="36" s="1"/>
  <c r="AK63" i="36" s="1"/>
  <c r="AK64" i="36" s="1"/>
  <c r="AK65" i="36" s="1"/>
  <c r="AK66" i="36" s="1"/>
  <c r="AK67" i="36" s="1"/>
  <c r="AK68" i="36" s="1"/>
  <c r="AK69" i="36" s="1"/>
  <c r="AK70" i="36" s="1"/>
  <c r="AK71" i="36" s="1"/>
  <c r="AK72" i="36" s="1"/>
  <c r="AK73" i="36" s="1"/>
  <c r="AK74" i="36" s="1"/>
  <c r="AK75" i="36" s="1"/>
  <c r="AK76" i="36" s="1"/>
  <c r="AK77" i="36" s="1"/>
  <c r="AL29" i="36"/>
  <c r="AM29" i="36" s="1"/>
  <c r="AJ30" i="36" s="1"/>
  <c r="AL30" i="36" l="1"/>
  <c r="AM30" i="36" s="1"/>
  <c r="AJ31" i="36" s="1"/>
  <c r="AL31" i="36" l="1"/>
  <c r="AM31" i="36" s="1"/>
  <c r="AJ32" i="36" s="1"/>
  <c r="AL32" i="36" l="1"/>
  <c r="AM32" i="36" s="1"/>
  <c r="AJ33" i="36" s="1"/>
  <c r="AL33" i="36" l="1"/>
  <c r="AM33" i="36" s="1"/>
  <c r="AJ34" i="36" s="1"/>
  <c r="AL34" i="36" l="1"/>
  <c r="AM34" i="36" s="1"/>
  <c r="AJ35" i="36" s="1"/>
  <c r="AL35" i="36" l="1"/>
  <c r="AM35" i="36" s="1"/>
  <c r="AJ36" i="36" s="1"/>
  <c r="AL36" i="36" l="1"/>
  <c r="AM36" i="36" s="1"/>
  <c r="AJ37" i="36" s="1"/>
  <c r="AL37" i="36" l="1"/>
  <c r="AM37" i="36" s="1"/>
  <c r="AJ38" i="36" s="1"/>
  <c r="AL38" i="36" l="1"/>
  <c r="AM38" i="36" s="1"/>
  <c r="AJ39" i="36" s="1"/>
  <c r="AL39" i="36" l="1"/>
  <c r="AM39" i="36" s="1"/>
  <c r="AJ40" i="36" s="1"/>
  <c r="AL40" i="36" l="1"/>
  <c r="AM40" i="36" s="1"/>
  <c r="AJ41" i="36" s="1"/>
  <c r="AL41" i="36" l="1"/>
  <c r="AM41" i="36" s="1"/>
  <c r="AJ42" i="36" s="1"/>
  <c r="AL42" i="36" l="1"/>
  <c r="AM42" i="36" s="1"/>
  <c r="AJ43" i="36" s="1"/>
  <c r="AL43" i="36" l="1"/>
  <c r="AM43" i="36" s="1"/>
  <c r="AJ44" i="36" s="1"/>
  <c r="AL44" i="36" l="1"/>
  <c r="AM44" i="36" s="1"/>
  <c r="AJ45" i="36" s="1"/>
  <c r="AL45" i="36" l="1"/>
  <c r="AM45" i="36" s="1"/>
  <c r="AJ46" i="36" s="1"/>
  <c r="AL46" i="36" l="1"/>
  <c r="AM46" i="36" s="1"/>
  <c r="AJ47" i="36" s="1"/>
  <c r="AL47" i="36" l="1"/>
  <c r="AM47" i="36" s="1"/>
  <c r="AJ48" i="36" s="1"/>
  <c r="AL48" i="36" l="1"/>
  <c r="AM48" i="36" s="1"/>
  <c r="AJ49" i="36" s="1"/>
  <c r="AL49" i="36" l="1"/>
  <c r="AM49" i="36" s="1"/>
  <c r="AJ50" i="36" s="1"/>
  <c r="AL50" i="36" l="1"/>
  <c r="AM50" i="36" s="1"/>
  <c r="AJ51" i="36" s="1"/>
  <c r="AL51" i="36" l="1"/>
  <c r="AM51" i="36" s="1"/>
  <c r="AJ52" i="36" s="1"/>
  <c r="AL52" i="36" l="1"/>
  <c r="AM52" i="36" s="1"/>
  <c r="AJ53" i="36" s="1"/>
  <c r="AL53" i="36" l="1"/>
  <c r="AM53" i="36" s="1"/>
  <c r="AJ54" i="36" s="1"/>
  <c r="AL54" i="36" l="1"/>
  <c r="AM54" i="36" s="1"/>
  <c r="AJ55" i="36" s="1"/>
  <c r="AL55" i="36" l="1"/>
  <c r="AM55" i="36" s="1"/>
  <c r="AJ56" i="36" s="1"/>
  <c r="AL56" i="36" l="1"/>
  <c r="AM56" i="36" s="1"/>
  <c r="AJ57" i="36" s="1"/>
  <c r="AL57" i="36" l="1"/>
  <c r="AM57" i="36" s="1"/>
  <c r="AJ58" i="36" s="1"/>
  <c r="AL58" i="36" l="1"/>
  <c r="AM58" i="36" s="1"/>
  <c r="AJ59" i="36" s="1"/>
  <c r="AL59" i="36" l="1"/>
  <c r="AM59" i="36" s="1"/>
  <c r="AJ60" i="36" s="1"/>
  <c r="AL60" i="36" l="1"/>
  <c r="AM60" i="36" s="1"/>
  <c r="AJ61" i="36" s="1"/>
  <c r="AL61" i="36" l="1"/>
  <c r="AM61" i="36" s="1"/>
  <c r="AJ62" i="36" s="1"/>
  <c r="AL62" i="36" l="1"/>
  <c r="AM62" i="36" s="1"/>
  <c r="AJ63" i="36" s="1"/>
  <c r="AL63" i="36" l="1"/>
  <c r="AM63" i="36" s="1"/>
  <c r="AJ64" i="36" s="1"/>
  <c r="AL64" i="36" l="1"/>
  <c r="AM64" i="36" s="1"/>
  <c r="AJ65" i="36" s="1"/>
  <c r="AL65" i="36" l="1"/>
  <c r="AM65" i="36" s="1"/>
  <c r="AJ66" i="36" s="1"/>
  <c r="AL66" i="36" l="1"/>
  <c r="AM66" i="36" s="1"/>
  <c r="AJ67" i="36" s="1"/>
  <c r="AL67" i="36" l="1"/>
  <c r="AM67" i="36" s="1"/>
  <c r="AJ68" i="36" s="1"/>
  <c r="AL68" i="36" l="1"/>
  <c r="AM68" i="36" s="1"/>
  <c r="AJ69" i="36" s="1"/>
  <c r="AL69" i="36" l="1"/>
  <c r="AM69" i="36" s="1"/>
  <c r="AJ70" i="36" s="1"/>
  <c r="AL70" i="36" l="1"/>
  <c r="AM70" i="36" s="1"/>
  <c r="AJ71" i="36" s="1"/>
  <c r="AL71" i="36" l="1"/>
  <c r="AM71" i="36" s="1"/>
  <c r="AJ72" i="36" s="1"/>
  <c r="AL72" i="36" l="1"/>
  <c r="AM72" i="36" s="1"/>
  <c r="AJ73" i="36" s="1"/>
  <c r="AL73" i="36" l="1"/>
  <c r="AM73" i="36" s="1"/>
  <c r="AJ74" i="36" s="1"/>
  <c r="AL74" i="36" l="1"/>
  <c r="AM74" i="36" s="1"/>
  <c r="AJ75" i="36" s="1"/>
  <c r="AL75" i="36" l="1"/>
  <c r="AM75" i="36" s="1"/>
  <c r="AJ76" i="36" s="1"/>
  <c r="AL76" i="36" l="1"/>
  <c r="AM76" i="36" s="1"/>
  <c r="AJ77" i="36" s="1"/>
  <c r="AL77" i="36" l="1"/>
  <c r="AM77" i="36" s="1"/>
  <c r="X20" i="36" a="1"/>
  <c r="X20" i="36" l="1"/>
  <c r="W20" i="36" s="1"/>
  <c r="N17" i="36" s="1"/>
  <c r="N16" i="36" l="1"/>
  <c r="N15" i="36"/>
  <c r="X24" i="36"/>
  <c r="N18" i="36" l="1"/>
  <c r="L31" i="47" l="1"/>
  <c r="K31" i="47"/>
  <c r="K61" i="47"/>
  <c r="L61" i="47"/>
  <c r="L55" i="47"/>
  <c r="K55" i="47"/>
  <c r="G63" i="47"/>
  <c r="AP63" i="47" s="1"/>
  <c r="AR63" i="47" s="1"/>
  <c r="BA63" i="47"/>
  <c r="BC63" i="47"/>
  <c r="G61" i="47"/>
  <c r="AE61" i="47" s="1"/>
  <c r="AG61" i="47" s="1"/>
  <c r="BA61" i="47"/>
  <c r="BC61" i="47" s="1"/>
  <c r="K37" i="47"/>
  <c r="L37" i="47"/>
  <c r="K46" i="47"/>
  <c r="L46" i="47"/>
  <c r="G39" i="47"/>
  <c r="N39" i="47"/>
  <c r="L63" i="47"/>
  <c r="K63" i="47"/>
  <c r="L53" i="47"/>
  <c r="K53" i="47"/>
  <c r="G46" i="47"/>
  <c r="N46" i="47"/>
  <c r="G53" i="47"/>
  <c r="AE53" i="47" s="1"/>
  <c r="AG53" i="47" s="1"/>
  <c r="BA53" i="47"/>
  <c r="BC53" i="47"/>
  <c r="G55" i="47"/>
  <c r="AP55" i="47" s="1"/>
  <c r="AR55" i="47" s="1"/>
  <c r="G62" i="47"/>
  <c r="AE62" i="47" s="1"/>
  <c r="AG62" i="47" s="1"/>
  <c r="N62" i="47"/>
  <c r="K45" i="47"/>
  <c r="L45" i="47"/>
  <c r="K38" i="47"/>
  <c r="L38" i="47"/>
  <c r="G45" i="47"/>
  <c r="K39" i="47"/>
  <c r="L39" i="47"/>
  <c r="G38" i="47"/>
  <c r="AP38" i="47" s="1"/>
  <c r="AR38" i="47" s="1"/>
  <c r="G47" i="47"/>
  <c r="AE47" i="47" s="1"/>
  <c r="AG47" i="47" s="1"/>
  <c r="AP47" i="47"/>
  <c r="AR47" i="47" s="1"/>
  <c r="K62" i="47"/>
  <c r="L62" i="47"/>
  <c r="L30" i="47"/>
  <c r="K30" i="47"/>
  <c r="K47" i="47"/>
  <c r="L47" i="47"/>
  <c r="G30" i="47"/>
  <c r="G31" i="47"/>
  <c r="BA31" i="47" s="1"/>
  <c r="BC31" i="47" s="1"/>
  <c r="N31" i="47"/>
  <c r="G37" i="47"/>
  <c r="AE37" i="47" s="1"/>
  <c r="AG37" i="47" s="1"/>
  <c r="G54" i="47"/>
  <c r="AP54" i="47"/>
  <c r="AR54" i="47" s="1"/>
  <c r="L54" i="47"/>
  <c r="K54" i="47"/>
  <c r="M47" i="47" l="1"/>
  <c r="U47" i="47" s="1"/>
  <c r="W47" i="47" s="1"/>
  <c r="O62" i="47"/>
  <c r="BA37" i="47"/>
  <c r="BC37" i="47" s="1"/>
  <c r="M45" i="47"/>
  <c r="U45" i="47" s="1"/>
  <c r="W45" i="47" s="1"/>
  <c r="M46" i="47"/>
  <c r="U46" i="47" s="1"/>
  <c r="W46" i="47" s="1"/>
  <c r="AE31" i="47"/>
  <c r="AG31" i="47" s="1"/>
  <c r="O31" i="47"/>
  <c r="N38" i="47"/>
  <c r="O38" i="47" s="1"/>
  <c r="M30" i="47"/>
  <c r="U30" i="47" s="1"/>
  <c r="W30" i="47" s="1"/>
  <c r="M38" i="47"/>
  <c r="U38" i="47" s="1"/>
  <c r="W38" i="47" s="1"/>
  <c r="M53" i="47"/>
  <c r="U53" i="47" s="1"/>
  <c r="W53" i="47" s="1"/>
  <c r="N47" i="47"/>
  <c r="O47" i="47" s="1"/>
  <c r="N37" i="47"/>
  <c r="O37" i="47" s="1"/>
  <c r="O46" i="47"/>
  <c r="N55" i="47"/>
  <c r="O55" i="47" s="1"/>
  <c r="AE38" i="47"/>
  <c r="AG38" i="47" s="1"/>
  <c r="N53" i="47"/>
  <c r="O53" i="47" s="1"/>
  <c r="BA62" i="47"/>
  <c r="BC62" i="47" s="1"/>
  <c r="BA47" i="47"/>
  <c r="BC47" i="47" s="1"/>
  <c r="O39" i="47"/>
  <c r="M37" i="47"/>
  <c r="U37" i="47" s="1"/>
  <c r="W37" i="47" s="1"/>
  <c r="M62" i="47"/>
  <c r="U62" i="47" s="1"/>
  <c r="W62" i="47" s="1"/>
  <c r="AP62" i="47"/>
  <c r="AR62" i="47" s="1"/>
  <c r="M31" i="47"/>
  <c r="U31" i="47" s="1"/>
  <c r="W31" i="47" s="1"/>
  <c r="AP31" i="47"/>
  <c r="AR31" i="47" s="1"/>
  <c r="AP53" i="47"/>
  <c r="AR53" i="47" s="1"/>
  <c r="AP37" i="47"/>
  <c r="AR37" i="47" s="1"/>
  <c r="M54" i="47"/>
  <c r="U54" i="47" s="1"/>
  <c r="W54" i="47" s="1"/>
  <c r="BA54" i="47"/>
  <c r="BC54" i="47" s="1"/>
  <c r="M55" i="47"/>
  <c r="U55" i="47" s="1"/>
  <c r="W55" i="47" s="1"/>
  <c r="BA55" i="47"/>
  <c r="BC55" i="47" s="1"/>
  <c r="AE55" i="47"/>
  <c r="AG55" i="47" s="1"/>
  <c r="N54" i="47"/>
  <c r="O54" i="47" s="1"/>
  <c r="BA45" i="47"/>
  <c r="BC45" i="47" s="1"/>
  <c r="AE45" i="47"/>
  <c r="AG45" i="47" s="1"/>
  <c r="AE54" i="47"/>
  <c r="AG54" i="47" s="1"/>
  <c r="N45" i="47"/>
  <c r="O45" i="47" s="1"/>
  <c r="BA46" i="47"/>
  <c r="BC46" i="47" s="1"/>
  <c r="AE46" i="47"/>
  <c r="AG46" i="47" s="1"/>
  <c r="AP46" i="47"/>
  <c r="AR46" i="47" s="1"/>
  <c r="AP30" i="47"/>
  <c r="AR30" i="47" s="1"/>
  <c r="BA30" i="47"/>
  <c r="BC30" i="47" s="1"/>
  <c r="AE30" i="47"/>
  <c r="AG30" i="47" s="1"/>
  <c r="N30" i="47"/>
  <c r="O30" i="47" s="1"/>
  <c r="AP45" i="47"/>
  <c r="AR45" i="47" s="1"/>
  <c r="BA38" i="47"/>
  <c r="BC38" i="47" s="1"/>
  <c r="BA39" i="47"/>
  <c r="BC39" i="47" s="1"/>
  <c r="AP39" i="47"/>
  <c r="AR39" i="47" s="1"/>
  <c r="AE39" i="47"/>
  <c r="AG39" i="47" s="1"/>
  <c r="M39" i="47"/>
  <c r="U39" i="47" s="1"/>
  <c r="W39" i="47" s="1"/>
  <c r="N63" i="47"/>
  <c r="O63" i="47" s="1"/>
  <c r="M63" i="47"/>
  <c r="U63" i="47" s="1"/>
  <c r="W63" i="47" s="1"/>
  <c r="AE63" i="47"/>
  <c r="AG63" i="47" s="1"/>
  <c r="N61" i="47"/>
  <c r="O61" i="47" s="1"/>
  <c r="M61" i="47"/>
  <c r="U61" i="47" s="1"/>
  <c r="W61" i="47" s="1"/>
  <c r="AP61" i="47"/>
  <c r="AR61" i="47" s="1"/>
  <c r="L29" i="47"/>
  <c r="K7" i="47"/>
  <c r="T7" i="47" s="1"/>
  <c r="G29" i="47"/>
  <c r="F22" i="47" s="1"/>
  <c r="K29" i="47"/>
  <c r="BM2" i="47" s="1"/>
  <c r="BM9" i="47" a="1"/>
  <c r="BM10" i="47" a="1"/>
  <c r="J7" i="47" l="1"/>
  <c r="S7" i="47" s="1"/>
  <c r="M29" i="47"/>
  <c r="U29" i="47" s="1"/>
  <c r="W29" i="47" s="1"/>
  <c r="Y29" i="47" s="1"/>
  <c r="V30" i="47" s="1"/>
  <c r="X30" i="47" s="1"/>
  <c r="BM10" i="47"/>
  <c r="BM9" i="47"/>
  <c r="J12" i="47"/>
  <c r="S12" i="47" s="1"/>
  <c r="BA29" i="47"/>
  <c r="BC29" i="47" s="1"/>
  <c r="BE29" i="47" s="1"/>
  <c r="BB30" i="47" s="1"/>
  <c r="J13" i="47"/>
  <c r="S13" i="47" s="1"/>
  <c r="J15" i="47"/>
  <c r="S15" i="47" s="1"/>
  <c r="N29" i="47"/>
  <c r="O29" i="47" s="1"/>
  <c r="J11" i="47"/>
  <c r="S11" i="47" s="1"/>
  <c r="J14" i="47"/>
  <c r="S14" i="47" s="1"/>
  <c r="F23" i="47"/>
  <c r="L19" i="47" s="1"/>
  <c r="X19" i="47" s="1"/>
  <c r="AF19" i="47" s="1"/>
  <c r="J16" i="47"/>
  <c r="S16" i="47" s="1"/>
  <c r="J8" i="47"/>
  <c r="J10" i="47"/>
  <c r="S10" i="47" s="1"/>
  <c r="AE29" i="47"/>
  <c r="AG29" i="47" s="1"/>
  <c r="AI29" i="47" s="1"/>
  <c r="AF30" i="47" s="1"/>
  <c r="AP29" i="47"/>
  <c r="AR29" i="47" s="1"/>
  <c r="AT29" i="47" s="1"/>
  <c r="AQ30" i="47" s="1"/>
  <c r="J9" i="47"/>
  <c r="S9" i="47" s="1"/>
  <c r="K8" i="47"/>
  <c r="K11" i="47"/>
  <c r="T11" i="47" s="1"/>
  <c r="K14" i="47"/>
  <c r="T14" i="47" s="1"/>
  <c r="K12" i="47"/>
  <c r="T12" i="47" s="1"/>
  <c r="K13" i="47"/>
  <c r="T13" i="47" s="1"/>
  <c r="K9" i="47"/>
  <c r="T9" i="47" s="1"/>
  <c r="K16" i="47"/>
  <c r="T16" i="47" s="1"/>
  <c r="K15" i="47"/>
  <c r="T15" i="47" s="1"/>
  <c r="K10" i="47"/>
  <c r="T10" i="47" s="1"/>
  <c r="J18" i="47"/>
  <c r="S18" i="47" s="1"/>
  <c r="BM3" i="47"/>
  <c r="J19" i="47" s="1"/>
  <c r="S19" i="47" s="1"/>
  <c r="Y30" i="47" l="1"/>
  <c r="V31" i="47" s="1"/>
  <c r="T8" i="47"/>
  <c r="K17" i="47"/>
  <c r="AH30" i="47"/>
  <c r="AI30" i="47" s="1"/>
  <c r="AF31" i="47" s="1"/>
  <c r="BD30" i="47"/>
  <c r="BE30" i="47" s="1"/>
  <c r="BB31" i="47" s="1"/>
  <c r="AS30" i="47"/>
  <c r="AT30" i="47" s="1"/>
  <c r="AQ31" i="47" s="1"/>
  <c r="S8" i="47"/>
  <c r="J17" i="47"/>
  <c r="BN4" i="47"/>
  <c r="BM4" i="47" s="1"/>
  <c r="X31" i="47" l="1"/>
  <c r="Y31" i="47" s="1"/>
  <c r="V32" i="47" s="1"/>
  <c r="X32" i="47" s="1"/>
  <c r="BD31" i="47"/>
  <c r="BE31" i="47" s="1"/>
  <c r="BB32" i="47" s="1"/>
  <c r="T17" i="47"/>
  <c r="J20" i="47"/>
  <c r="S20" i="47" s="1"/>
  <c r="U18" i="47" s="1"/>
  <c r="BL10" i="47"/>
  <c r="BL9" i="47"/>
  <c r="S17" i="47"/>
  <c r="AS31" i="47"/>
  <c r="AT31" i="47" s="1"/>
  <c r="AQ32" i="47" s="1"/>
  <c r="AH31" i="47"/>
  <c r="AI31" i="47" s="1"/>
  <c r="AF32" i="47" s="1"/>
  <c r="Y32" i="47" l="1"/>
  <c r="V33" i="47" s="1"/>
  <c r="X33" i="47" s="1"/>
  <c r="L18" i="47"/>
  <c r="AS32" i="47"/>
  <c r="AT32" i="47" s="1"/>
  <c r="AQ33" i="47" s="1"/>
  <c r="BD32" i="47"/>
  <c r="BE32" i="47" s="1"/>
  <c r="BB33" i="47" s="1"/>
  <c r="AH32" i="47"/>
  <c r="AI32" i="47" s="1"/>
  <c r="AF33" i="47" s="1"/>
  <c r="L20" i="47" l="1"/>
  <c r="Y33" i="47"/>
  <c r="V34" i="47" s="1"/>
  <c r="X34" i="47" s="1"/>
  <c r="AO12" i="47"/>
  <c r="AP12" i="47" s="1"/>
  <c r="BD33" i="47"/>
  <c r="BE33" i="47" s="1"/>
  <c r="BB34" i="47" s="1"/>
  <c r="AS33" i="47"/>
  <c r="AT33" i="47" s="1"/>
  <c r="AQ34" i="47" s="1"/>
  <c r="AH33" i="47"/>
  <c r="AI33" i="47" s="1"/>
  <c r="AF34" i="47" s="1"/>
  <c r="Y34" i="47" l="1"/>
  <c r="V35" i="47" s="1"/>
  <c r="X35" i="47" s="1"/>
  <c r="BD34" i="47"/>
  <c r="BE34" i="47" s="1"/>
  <c r="BB35" i="47" s="1"/>
  <c r="AH34" i="47"/>
  <c r="AI34" i="47" s="1"/>
  <c r="AF35" i="47" s="1"/>
  <c r="AS34" i="47"/>
  <c r="AT34" i="47" s="1"/>
  <c r="AQ35" i="47" s="1"/>
  <c r="Y35" i="47" l="1"/>
  <c r="V36" i="47" s="1"/>
  <c r="X36" i="47" s="1"/>
  <c r="BD35" i="47"/>
  <c r="BE35" i="47" s="1"/>
  <c r="BB36" i="47" s="1"/>
  <c r="AS35" i="47"/>
  <c r="AT35" i="47" s="1"/>
  <c r="AQ36" i="47" s="1"/>
  <c r="AH35" i="47"/>
  <c r="AI35" i="47" s="1"/>
  <c r="AF36" i="47" s="1"/>
  <c r="Y36" i="47" l="1"/>
  <c r="V37" i="47" s="1"/>
  <c r="X37" i="47" s="1"/>
  <c r="AH36" i="47"/>
  <c r="AI36" i="47" s="1"/>
  <c r="AF37" i="47" s="1"/>
  <c r="AS36" i="47"/>
  <c r="AT36" i="47" s="1"/>
  <c r="AQ37" i="47" s="1"/>
  <c r="BD36" i="47"/>
  <c r="BE36" i="47" s="1"/>
  <c r="BB37" i="47" s="1"/>
  <c r="Y37" i="47" l="1"/>
  <c r="V38" i="47" s="1"/>
  <c r="X38" i="47" s="1"/>
  <c r="AH37" i="47"/>
  <c r="AI37" i="47" s="1"/>
  <c r="AF38" i="47" s="1"/>
  <c r="BD37" i="47"/>
  <c r="BE37" i="47" s="1"/>
  <c r="BB38" i="47" s="1"/>
  <c r="AS37" i="47"/>
  <c r="AT37" i="47" s="1"/>
  <c r="AQ38" i="47" s="1"/>
  <c r="Y38" i="47" l="1"/>
  <c r="V39" i="47" s="1"/>
  <c r="X39" i="47" s="1"/>
  <c r="AH38" i="47"/>
  <c r="AI38" i="47" s="1"/>
  <c r="AF39" i="47" s="1"/>
  <c r="AS38" i="47"/>
  <c r="AT38" i="47" s="1"/>
  <c r="AQ39" i="47" s="1"/>
  <c r="BD38" i="47"/>
  <c r="BE38" i="47" s="1"/>
  <c r="BB39" i="47" s="1"/>
  <c r="Y39" i="47" l="1"/>
  <c r="V40" i="47" s="1"/>
  <c r="X40" i="47" s="1"/>
  <c r="BD39" i="47"/>
  <c r="BE39" i="47" s="1"/>
  <c r="BB40" i="47" s="1"/>
  <c r="AS39" i="47"/>
  <c r="AT39" i="47" s="1"/>
  <c r="AQ40" i="47" s="1"/>
  <c r="AH39" i="47"/>
  <c r="AI39" i="47"/>
  <c r="AF40" i="47" s="1"/>
  <c r="Y40" i="47" l="1"/>
  <c r="V41" i="47" s="1"/>
  <c r="X41" i="47" s="1"/>
  <c r="Y41" i="47" s="1"/>
  <c r="V42" i="47" s="1"/>
  <c r="X42" i="47" s="1"/>
  <c r="AH40" i="47"/>
  <c r="AI40" i="47" s="1"/>
  <c r="AF41" i="47" s="1"/>
  <c r="AS40" i="47"/>
  <c r="AT40" i="47" s="1"/>
  <c r="AQ41" i="47" s="1"/>
  <c r="BD40" i="47"/>
  <c r="BE40" i="47"/>
  <c r="BB41" i="47" s="1"/>
  <c r="AS41" i="47" l="1"/>
  <c r="AT41" i="47" s="1"/>
  <c r="AQ42" i="47" s="1"/>
  <c r="AH41" i="47"/>
  <c r="AI41" i="47" s="1"/>
  <c r="AF42" i="47" s="1"/>
  <c r="BD41" i="47"/>
  <c r="BE41" i="47" s="1"/>
  <c r="BB42" i="47" s="1"/>
  <c r="Y42" i="47"/>
  <c r="V43" i="47" s="1"/>
  <c r="X43" i="47" s="1"/>
  <c r="Y43" i="47" l="1"/>
  <c r="V44" i="47" s="1"/>
  <c r="X44" i="47" s="1"/>
  <c r="BD42" i="47"/>
  <c r="BE42" i="47" s="1"/>
  <c r="BB43" i="47" s="1"/>
  <c r="AH42" i="47"/>
  <c r="AI42" i="47" s="1"/>
  <c r="AF43" i="47" s="1"/>
  <c r="AS42" i="47"/>
  <c r="AT42" i="47" s="1"/>
  <c r="AQ43" i="47" s="1"/>
  <c r="AH43" i="47" l="1"/>
  <c r="AI43" i="47" s="1"/>
  <c r="AF44" i="47" s="1"/>
  <c r="Y44" i="47"/>
  <c r="V45" i="47" s="1"/>
  <c r="X45" i="47" s="1"/>
  <c r="AS43" i="47"/>
  <c r="AT43" i="47" s="1"/>
  <c r="AQ44" i="47" s="1"/>
  <c r="BD43" i="47"/>
  <c r="BE43" i="47" s="1"/>
  <c r="BB44" i="47" s="1"/>
  <c r="BD44" i="47" l="1"/>
  <c r="BE44" i="47" s="1"/>
  <c r="BB45" i="47" s="1"/>
  <c r="AH44" i="47"/>
  <c r="AI44" i="47"/>
  <c r="AF45" i="47" s="1"/>
  <c r="AS44" i="47"/>
  <c r="AT44" i="47" s="1"/>
  <c r="AQ45" i="47" s="1"/>
  <c r="Y45" i="47"/>
  <c r="V46" i="47" s="1"/>
  <c r="X46" i="47" s="1"/>
  <c r="AS45" i="47" l="1"/>
  <c r="AT45" i="47" s="1"/>
  <c r="AQ46" i="47" s="1"/>
  <c r="BD45" i="47"/>
  <c r="BE45" i="47" s="1"/>
  <c r="BB46" i="47" s="1"/>
  <c r="Y46" i="47"/>
  <c r="V47" i="47" s="1"/>
  <c r="X47" i="47" s="1"/>
  <c r="AH45" i="47"/>
  <c r="AI45" i="47" s="1"/>
  <c r="AF46" i="47" s="1"/>
  <c r="AH46" i="47" l="1"/>
  <c r="AI46" i="47" s="1"/>
  <c r="AF47" i="47" s="1"/>
  <c r="Y47" i="47"/>
  <c r="V48" i="47" s="1"/>
  <c r="X48" i="47" s="1"/>
  <c r="BD46" i="47"/>
  <c r="BE46" i="47" s="1"/>
  <c r="BB47" i="47" s="1"/>
  <c r="AS46" i="47"/>
  <c r="AT46" i="47" s="1"/>
  <c r="AQ47" i="47" s="1"/>
  <c r="BD47" i="47" l="1"/>
  <c r="BE47" i="47" s="1"/>
  <c r="BB48" i="47" s="1"/>
  <c r="AH47" i="47"/>
  <c r="AI47" i="47" s="1"/>
  <c r="AF48" i="47" s="1"/>
  <c r="AS47" i="47"/>
  <c r="AT47" i="47" s="1"/>
  <c r="AQ48" i="47" s="1"/>
  <c r="Y48" i="47"/>
  <c r="V49" i="47" s="1"/>
  <c r="X49" i="47" s="1"/>
  <c r="AH48" i="47" l="1"/>
  <c r="AI48" i="47" s="1"/>
  <c r="AF49" i="47" s="1"/>
  <c r="BD48" i="47"/>
  <c r="BE48" i="47" s="1"/>
  <c r="BB49" i="47" s="1"/>
  <c r="Y49" i="47"/>
  <c r="V50" i="47" s="1"/>
  <c r="X50" i="47" s="1"/>
  <c r="AS48" i="47"/>
  <c r="AT48" i="47" s="1"/>
  <c r="AQ49" i="47" s="1"/>
  <c r="AH49" i="47" l="1"/>
  <c r="AI49" i="47" s="1"/>
  <c r="AF50" i="47" s="1"/>
  <c r="AS49" i="47"/>
  <c r="AT49" i="47" s="1"/>
  <c r="AQ50" i="47" s="1"/>
  <c r="Y50" i="47"/>
  <c r="V51" i="47" s="1"/>
  <c r="X51" i="47" s="1"/>
  <c r="BD49" i="47"/>
  <c r="BE49" i="47" s="1"/>
  <c r="BB50" i="47" s="1"/>
  <c r="AS50" i="47" l="1"/>
  <c r="AT50" i="47" s="1"/>
  <c r="AQ51" i="47" s="1"/>
  <c r="BD50" i="47"/>
  <c r="BE50" i="47" s="1"/>
  <c r="BB51" i="47" s="1"/>
  <c r="Y51" i="47"/>
  <c r="V52" i="47" s="1"/>
  <c r="X52" i="47" s="1"/>
  <c r="AH50" i="47"/>
  <c r="AI50" i="47" s="1"/>
  <c r="AF51" i="47" s="1"/>
  <c r="AH51" i="47" l="1"/>
  <c r="AI51" i="47" s="1"/>
  <c r="AF52" i="47" s="1"/>
  <c r="BD51" i="47"/>
  <c r="BE51" i="47" s="1"/>
  <c r="BB52" i="47" s="1"/>
  <c r="Y52" i="47"/>
  <c r="V53" i="47" s="1"/>
  <c r="X53" i="47" s="1"/>
  <c r="AS51" i="47"/>
  <c r="AT51" i="47" s="1"/>
  <c r="AQ52" i="47" s="1"/>
  <c r="BD52" i="47" l="1"/>
  <c r="BE52" i="47" s="1"/>
  <c r="BB53" i="47" s="1"/>
  <c r="AS52" i="47"/>
  <c r="AT52" i="47" s="1"/>
  <c r="AQ53" i="47" s="1"/>
  <c r="Y53" i="47"/>
  <c r="V54" i="47" s="1"/>
  <c r="X54" i="47" s="1"/>
  <c r="AH52" i="47"/>
  <c r="AI52" i="47" s="1"/>
  <c r="AF53" i="47" s="1"/>
  <c r="Y54" i="47" l="1"/>
  <c r="V55" i="47" s="1"/>
  <c r="X55" i="47" s="1"/>
  <c r="BD53" i="47"/>
  <c r="BE53" i="47" s="1"/>
  <c r="BB54" i="47" s="1"/>
  <c r="AH53" i="47"/>
  <c r="AI53" i="47" s="1"/>
  <c r="AF54" i="47" s="1"/>
  <c r="AS53" i="47"/>
  <c r="AT53" i="47" s="1"/>
  <c r="AQ54" i="47" s="1"/>
  <c r="Y55" i="47" l="1"/>
  <c r="V56" i="47" s="1"/>
  <c r="X56" i="47" s="1"/>
  <c r="AS54" i="47"/>
  <c r="AT54" i="47" s="1"/>
  <c r="AQ55" i="47" s="1"/>
  <c r="AH54" i="47"/>
  <c r="AI54" i="47" s="1"/>
  <c r="AF55" i="47" s="1"/>
  <c r="BD54" i="47"/>
  <c r="BE54" i="47" s="1"/>
  <c r="BB55" i="47" s="1"/>
  <c r="BD55" i="47" l="1"/>
  <c r="BE55" i="47" s="1"/>
  <c r="BB56" i="47" s="1"/>
  <c r="AH55" i="47"/>
  <c r="AI55" i="47" s="1"/>
  <c r="AF56" i="47" s="1"/>
  <c r="AS55" i="47"/>
  <c r="AT55" i="47" s="1"/>
  <c r="AQ56" i="47" s="1"/>
  <c r="Y56" i="47"/>
  <c r="V57" i="47" s="1"/>
  <c r="X57" i="47" s="1"/>
  <c r="AS56" i="47" l="1"/>
  <c r="AT56" i="47" s="1"/>
  <c r="AQ57" i="47" s="1"/>
  <c r="AH56" i="47"/>
  <c r="AI56" i="47" s="1"/>
  <c r="AF57" i="47" s="1"/>
  <c r="BD56" i="47"/>
  <c r="BE56" i="47"/>
  <c r="BB57" i="47" s="1"/>
  <c r="Y57" i="47"/>
  <c r="V58" i="47" s="1"/>
  <c r="X58" i="47" s="1"/>
  <c r="AS57" i="47" l="1"/>
  <c r="AT57" i="47" s="1"/>
  <c r="AQ58" i="47" s="1"/>
  <c r="Y58" i="47"/>
  <c r="V59" i="47" s="1"/>
  <c r="X59" i="47" s="1"/>
  <c r="BD57" i="47"/>
  <c r="BE57" i="47"/>
  <c r="BB58" i="47" s="1"/>
  <c r="AH57" i="47"/>
  <c r="AI57" i="47" s="1"/>
  <c r="AF58" i="47" s="1"/>
  <c r="AS58" i="47" l="1"/>
  <c r="AT58" i="47" s="1"/>
  <c r="AQ59" i="47" s="1"/>
  <c r="AH58" i="47"/>
  <c r="AI58" i="47" s="1"/>
  <c r="AF59" i="47" s="1"/>
  <c r="BD58" i="47"/>
  <c r="BE58" i="47" s="1"/>
  <c r="BB59" i="47" s="1"/>
  <c r="Y59" i="47"/>
  <c r="V60" i="47" s="1"/>
  <c r="X60" i="47" s="1"/>
  <c r="BD59" i="47" l="1"/>
  <c r="BE59" i="47" s="1"/>
  <c r="BB60" i="47" s="1"/>
  <c r="Y60" i="47"/>
  <c r="V61" i="47" s="1"/>
  <c r="X61" i="47" s="1"/>
  <c r="AH59" i="47"/>
  <c r="AI59" i="47" s="1"/>
  <c r="AF60" i="47" s="1"/>
  <c r="AS59" i="47"/>
  <c r="AT59" i="47" s="1"/>
  <c r="AQ60" i="47" s="1"/>
  <c r="AH60" i="47" l="1"/>
  <c r="AI60" i="47" s="1"/>
  <c r="AF61" i="47" s="1"/>
  <c r="BD60" i="47"/>
  <c r="BE60" i="47" s="1"/>
  <c r="BB61" i="47" s="1"/>
  <c r="AS60" i="47"/>
  <c r="AT60" i="47" s="1"/>
  <c r="AQ61" i="47" s="1"/>
  <c r="Y61" i="47"/>
  <c r="V62" i="47" s="1"/>
  <c r="X62" i="47" s="1"/>
  <c r="AH61" i="47" l="1"/>
  <c r="AI61" i="47" s="1"/>
  <c r="AF62" i="47" s="1"/>
  <c r="Y62" i="47"/>
  <c r="V63" i="47" s="1"/>
  <c r="X63" i="47" s="1"/>
  <c r="BD61" i="47"/>
  <c r="BE61" i="47" s="1"/>
  <c r="BB62" i="47" s="1"/>
  <c r="AS61" i="47"/>
  <c r="AT61" i="47" s="1"/>
  <c r="AQ62" i="47" s="1"/>
  <c r="BD62" i="47" l="1"/>
  <c r="BE62" i="47" s="1"/>
  <c r="BB63" i="47" s="1"/>
  <c r="AH62" i="47"/>
  <c r="AI62" i="47" s="1"/>
  <c r="AF63" i="47" s="1"/>
  <c r="AS62" i="47"/>
  <c r="AT62" i="47" s="1"/>
  <c r="AQ63" i="47" s="1"/>
  <c r="Y63" i="47"/>
  <c r="V64" i="47" s="1"/>
  <c r="X64" i="47" s="1"/>
  <c r="BD63" i="47" l="1"/>
  <c r="BE63" i="47" s="1"/>
  <c r="BB64" i="47" s="1"/>
  <c r="AS63" i="47"/>
  <c r="AT63" i="47" s="1"/>
  <c r="AQ64" i="47" s="1"/>
  <c r="Y64" i="47"/>
  <c r="AH63" i="47"/>
  <c r="AI63" i="47" s="1"/>
  <c r="AF64" i="47" s="1"/>
  <c r="AH64" i="47" l="1"/>
  <c r="AI64" i="47" s="1"/>
  <c r="V65" i="47"/>
  <c r="X65" i="47" s="1"/>
  <c r="AS64" i="47"/>
  <c r="AT64" i="47" s="1"/>
  <c r="BD64" i="47"/>
  <c r="BE64" i="47" s="1"/>
  <c r="AF65" i="47" l="1"/>
  <c r="BB65" i="47"/>
  <c r="Y65" i="47"/>
  <c r="V66" i="47" s="1"/>
  <c r="X66" i="47" s="1"/>
  <c r="AQ65" i="47"/>
  <c r="AS65" i="47" l="1"/>
  <c r="AT65" i="47" s="1"/>
  <c r="AQ66" i="47" s="1"/>
  <c r="Y66" i="47"/>
  <c r="V67" i="47" s="1"/>
  <c r="X67" i="47" s="1"/>
  <c r="BD65" i="47"/>
  <c r="BE65" i="47" s="1"/>
  <c r="BB66" i="47" s="1"/>
  <c r="AH65" i="47"/>
  <c r="AI65" i="47" s="1"/>
  <c r="AF66" i="47" s="1"/>
  <c r="AH66" i="47" l="1"/>
  <c r="AI66" i="47" s="1"/>
  <c r="AF67" i="47" s="1"/>
  <c r="AS66" i="47"/>
  <c r="AT66" i="47" s="1"/>
  <c r="AQ67" i="47" s="1"/>
  <c r="BD66" i="47"/>
  <c r="BE66" i="47" s="1"/>
  <c r="BB67" i="47" s="1"/>
  <c r="Y67" i="47"/>
  <c r="V68" i="47" l="1"/>
  <c r="BM17" i="47"/>
  <c r="AH67" i="47"/>
  <c r="AI67" i="47" s="1"/>
  <c r="BD67" i="47"/>
  <c r="BE67" i="47" s="1"/>
  <c r="AS67" i="47"/>
  <c r="AT67" i="47" s="1"/>
  <c r="X68" i="47" l="1"/>
  <c r="Y68" i="47" s="1"/>
  <c r="V69" i="47" s="1"/>
  <c r="X69" i="47" s="1"/>
  <c r="AF68" i="47"/>
  <c r="AH68" i="47" s="1"/>
  <c r="AF12" i="47"/>
  <c r="AQ68" i="47"/>
  <c r="AS68" i="47" s="1"/>
  <c r="AT68" i="47" s="1"/>
  <c r="AQ69" i="47" s="1"/>
  <c r="AF14" i="47"/>
  <c r="BB68" i="47"/>
  <c r="BD68" i="47" s="1"/>
  <c r="BE68" i="47" s="1"/>
  <c r="BB69" i="47" s="1"/>
  <c r="BB13" i="47"/>
  <c r="BB15" i="47" s="1"/>
  <c r="U19" i="47"/>
  <c r="BM19" i="47"/>
  <c r="U21" i="47" l="1"/>
  <c r="U22" i="47"/>
  <c r="X18" i="47" s="1"/>
  <c r="Y69" i="47"/>
  <c r="V70" i="47" s="1"/>
  <c r="X70" i="47" s="1"/>
  <c r="AI68" i="47"/>
  <c r="AF69" i="47" s="1"/>
  <c r="AH69" i="47" s="1"/>
  <c r="AF15" i="47"/>
  <c r="AO15" i="47"/>
  <c r="AP15" i="47" s="1"/>
  <c r="BB16" i="47"/>
  <c r="BD69" i="47"/>
  <c r="BE69" i="47" s="1"/>
  <c r="BB70" i="47" s="1"/>
  <c r="AS69" i="47"/>
  <c r="AT69" i="47" s="1"/>
  <c r="AQ70" i="47" s="1"/>
  <c r="AF17" i="47" l="1"/>
  <c r="AF20" i="47" s="1"/>
  <c r="AO13" i="47"/>
  <c r="AP13" i="47" s="1"/>
  <c r="X20" i="47"/>
  <c r="Y70" i="47"/>
  <c r="V71" i="47" s="1"/>
  <c r="X71" i="47" s="1"/>
  <c r="AI69" i="47"/>
  <c r="AF70" i="47" s="1"/>
  <c r="AH70" i="47" s="1"/>
  <c r="AI70" i="47" s="1"/>
  <c r="AF71" i="47" s="1"/>
  <c r="AS70" i="47"/>
  <c r="AT70" i="47" s="1"/>
  <c r="AQ71" i="47" s="1"/>
  <c r="BD70" i="47"/>
  <c r="BE70" i="47" s="1"/>
  <c r="BB71" i="47" s="1"/>
  <c r="AO14" i="47" l="1"/>
  <c r="AP14" i="47" s="1"/>
  <c r="AF18" i="47"/>
  <c r="Y71" i="47"/>
  <c r="V72" i="47" s="1"/>
  <c r="X72" i="47" s="1"/>
  <c r="AH71" i="47"/>
  <c r="AI71" i="47" s="1"/>
  <c r="AF72" i="47" s="1"/>
  <c r="AS71" i="47"/>
  <c r="AT71" i="47" s="1"/>
  <c r="AQ72" i="47" s="1"/>
  <c r="BD71" i="47"/>
  <c r="BE71" i="47" s="1"/>
  <c r="BB72" i="47" s="1"/>
  <c r="Y72" i="47" l="1"/>
  <c r="V73" i="47" s="1"/>
  <c r="X73" i="47" s="1"/>
  <c r="AS72" i="47"/>
  <c r="AT72" i="47" s="1"/>
  <c r="AQ73" i="47" s="1"/>
  <c r="AH72" i="47"/>
  <c r="AI72" i="47" s="1"/>
  <c r="AF73" i="47" s="1"/>
  <c r="BD72" i="47"/>
  <c r="BE72" i="47" s="1"/>
  <c r="BB73" i="47" s="1"/>
  <c r="Y73" i="47" l="1"/>
  <c r="V74" i="47" s="1"/>
  <c r="X74" i="47" s="1"/>
  <c r="BD73" i="47"/>
  <c r="BE73" i="47" s="1"/>
  <c r="BB74" i="47" s="1"/>
  <c r="AH73" i="47"/>
  <c r="AI73" i="47" s="1"/>
  <c r="AF74" i="47" s="1"/>
  <c r="AS73" i="47"/>
  <c r="AT73" i="47" s="1"/>
  <c r="AQ74" i="47" s="1"/>
  <c r="Y74" i="47" l="1"/>
  <c r="V75" i="47" s="1"/>
  <c r="X75" i="47" s="1"/>
  <c r="BD74" i="47"/>
  <c r="BE74" i="47" s="1"/>
  <c r="BB75" i="47" s="1"/>
  <c r="AS74" i="47"/>
  <c r="AT74" i="47" s="1"/>
  <c r="AQ75" i="47" s="1"/>
  <c r="AH74" i="47"/>
  <c r="AI74" i="47" s="1"/>
  <c r="AF75" i="47" s="1"/>
  <c r="Y75" i="47" l="1"/>
  <c r="V76" i="47" s="1"/>
  <c r="X76" i="47" s="1"/>
  <c r="BD75" i="47"/>
  <c r="BE75" i="47" s="1"/>
  <c r="BB76" i="47" s="1"/>
  <c r="AH75" i="47"/>
  <c r="AI75" i="47" s="1"/>
  <c r="AF76" i="47" s="1"/>
  <c r="AS75" i="47"/>
  <c r="AT75" i="47" s="1"/>
  <c r="AQ76" i="47" s="1"/>
  <c r="Y76" i="47" l="1"/>
  <c r="BD76" i="47"/>
  <c r="BE76" i="47" s="1"/>
  <c r="AS76" i="47"/>
  <c r="AT76" i="47" s="1"/>
  <c r="AH76" i="47"/>
  <c r="AI76" i="47" s="1"/>
  <c r="BM15" i="47" a="1"/>
  <c r="BM8" i="47" a="1"/>
  <c r="BM8" i="47" l="1"/>
  <c r="B95" i="47" s="1"/>
  <c r="BM15" i="47"/>
  <c r="BM16" i="47" s="1"/>
  <c r="BM20" i="47" s="1"/>
  <c r="BL8" i="47" l="1"/>
  <c r="BM21" i="47" s="1"/>
  <c r="BM15" i="49" a="1"/>
  <c r="BM8" i="49" a="1"/>
  <c r="BM6" i="47" l="1"/>
  <c r="BM5" i="47" s="1"/>
  <c r="BM11" i="47" s="1"/>
  <c r="BM8" i="49"/>
  <c r="BL8" i="49" s="1"/>
  <c r="BM6" i="49" s="1"/>
  <c r="BM5" i="49" s="1"/>
  <c r="BM11" i="49" s="1"/>
  <c r="BM15" i="49"/>
  <c r="BM16" i="49" s="1"/>
  <c r="BM20" i="49" s="1"/>
  <c r="BM15" i="50" a="1"/>
  <c r="BM8" i="50" a="1"/>
  <c r="BM21" i="49" l="1"/>
  <c r="B95" i="49"/>
  <c r="BM8" i="50"/>
  <c r="BL8" i="50" s="1"/>
  <c r="BM6" i="50" s="1"/>
  <c r="BM5" i="50" s="1"/>
  <c r="BM11" i="50" s="1"/>
  <c r="BM15" i="50"/>
  <c r="BM16" i="50" s="1"/>
  <c r="BM20" i="50" s="1"/>
  <c r="BM8" i="52" a="1"/>
  <c r="BM15" i="52" a="1"/>
  <c r="B95" i="50" l="1"/>
  <c r="BM21" i="50"/>
  <c r="BM8" i="52"/>
  <c r="B95" i="52" s="1"/>
  <c r="BM15" i="52"/>
  <c r="BM16" i="52" s="1"/>
  <c r="BM20" i="52" s="1"/>
  <c r="BL8" i="52" l="1"/>
  <c r="BM21" i="52" s="1"/>
  <c r="BM8" i="53" a="1"/>
  <c r="BM15" i="53" a="1"/>
  <c r="BM6" i="52" l="1"/>
  <c r="BM5" i="52" s="1"/>
  <c r="BM11" i="52" s="1"/>
  <c r="BM8" i="53"/>
  <c r="BM15" i="53"/>
  <c r="BM16" i="53" s="1"/>
  <c r="BM20" i="53" s="1"/>
  <c r="BL8" i="53" l="1"/>
  <c r="B95" i="53"/>
  <c r="BM21" i="53" l="1"/>
  <c r="BM6" i="53"/>
  <c r="BM5" i="53" s="1"/>
  <c r="BM11" i="5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<sst xmlns="http://schemas.openxmlformats.org/spreadsheetml/2006/main" count="1168" uniqueCount="239">
  <si>
    <t>M</t>
  </si>
  <si>
    <t xml:space="preserve">ANEXO </t>
  </si>
  <si>
    <t>CUADRO No.1</t>
  </si>
  <si>
    <t>CUADRO No.2</t>
  </si>
  <si>
    <t>CANTIDAD MENSUAL</t>
  </si>
  <si>
    <t>QUE SE PUEDE COMPRAR CON B/.1,000.00</t>
  </si>
  <si>
    <t>ACUMULADO PARA PENSIONADO PRINCIPAL</t>
  </si>
  <si>
    <t>CUANDO EL PENSIONADO PRINCIPAL ES HOMBRE</t>
  </si>
  <si>
    <t>CUANDO EL PENSIONADO PRINCIPAL ES MUJER</t>
  </si>
  <si>
    <t>Y EL PENSIONADO CONTINGENTE ES UNA MUJER</t>
  </si>
  <si>
    <t>Y EL PENSIONADO CONTINGENTE ES UN HOMBRE</t>
  </si>
  <si>
    <t>TRES AÑOS MENOR QUE EL PENSIONADO PRINCIPAL</t>
  </si>
  <si>
    <t>TRES AÑOS MAYOR QUE EL PENSIONADO PRINCIPAL</t>
  </si>
  <si>
    <t>FORMAS DE PAGO DE LA PENSION</t>
  </si>
  <si>
    <t>PU=12*Rm*ax</t>
  </si>
  <si>
    <t xml:space="preserve">Pensión </t>
  </si>
  <si>
    <t>Pensión de</t>
  </si>
  <si>
    <t>mancomunada</t>
  </si>
  <si>
    <t>Edad del</t>
  </si>
  <si>
    <t>Por Vida</t>
  </si>
  <si>
    <t>con 50% al</t>
  </si>
  <si>
    <t>Pensionado</t>
  </si>
  <si>
    <t>con 10 años</t>
  </si>
  <si>
    <t>Principal en la</t>
  </si>
  <si>
    <t xml:space="preserve">de Pagos </t>
  </si>
  <si>
    <t>Contingente</t>
  </si>
  <si>
    <t>Fecha de Emision</t>
  </si>
  <si>
    <t>Garantizados</t>
  </si>
  <si>
    <t>sobreviviente</t>
  </si>
  <si>
    <t>DATOS BASICOS</t>
  </si>
  <si>
    <t>SEXO</t>
  </si>
  <si>
    <t>EDAD ENTRADA</t>
  </si>
  <si>
    <t>TASA CRECIMIENTO SALARIAL</t>
  </si>
  <si>
    <t>BENEFICIO DE JUBILACION CSS</t>
  </si>
  <si>
    <t>BENEFICIO ACTUARIAL JUSTO</t>
  </si>
  <si>
    <t>EDAD JUBILACION</t>
  </si>
  <si>
    <t>FACTOR PENSION X MIL</t>
  </si>
  <si>
    <t>PENSION ACTUARIAL JUSTA MENSUAL</t>
  </si>
  <si>
    <t>AÑO</t>
  </si>
  <si>
    <t>EDAD FIN AÑO</t>
  </si>
  <si>
    <t>CREC. SALARIO</t>
  </si>
  <si>
    <t>SALARIO MENSUAL</t>
  </si>
  <si>
    <t>SALARIO ANUAL</t>
  </si>
  <si>
    <t>CUOTAS APORTADAS</t>
  </si>
  <si>
    <t>APORTES</t>
  </si>
  <si>
    <t>INTERESES</t>
  </si>
  <si>
    <t>INTERES</t>
  </si>
  <si>
    <t>PENSION ANUAL PAGADA JUSTA</t>
  </si>
  <si>
    <t>FACTORES DE DESCUENTO</t>
  </si>
  <si>
    <t>EN LA EDAD DE RETIRO POR CADA $1</t>
  </si>
  <si>
    <t>EDAD HOMBRES</t>
  </si>
  <si>
    <t>FACTOR DESCUENTO HOMBRES</t>
  </si>
  <si>
    <t>EDAD MUJERES</t>
  </si>
  <si>
    <t>FACTOR DESCUENTO MUJERES</t>
  </si>
  <si>
    <t>EDAD DE JUBILACION</t>
  </si>
  <si>
    <t>TASA DE RETORNO INVERSIONES ANTES VIG LEY</t>
  </si>
  <si>
    <t>TASA RETORNO INVERSIONES PROMEDIO</t>
  </si>
  <si>
    <t>DENSIDAD MINIMA DE CUOTAS LEY 51</t>
  </si>
  <si>
    <t>TASA DE REEMPLAZO INICIAL LEY 51</t>
  </si>
  <si>
    <t>TASA DE REEMPLAZO ADICIONAL LEY 51</t>
  </si>
  <si>
    <t>% CUOTA EMPLEADO EMPLEADOR NUEVA LEY</t>
  </si>
  <si>
    <t>%  CUOTA APLICADO ANTES VIGENCIA NVA LEY</t>
  </si>
  <si>
    <t xml:space="preserve">% XIII EMPLEADO EMPLEADOR NUEVA LEY </t>
  </si>
  <si>
    <t>EDAD INI AÑO</t>
  </si>
  <si>
    <t>TASA O-P SALARIO</t>
  </si>
  <si>
    <t>TASA O-P XIII</t>
  </si>
  <si>
    <t>ACUMULACION ANTES VIGENCIA NUEVA LEY</t>
  </si>
  <si>
    <t>EDAD ACTUAL</t>
  </si>
  <si>
    <t>SALARIO MENSUAL HOY</t>
  </si>
  <si>
    <t>INDICADOR</t>
  </si>
  <si>
    <t>ACUMULACION DESPUES  VIGENCIA NUEVA LEY</t>
  </si>
  <si>
    <t>SALARIO ANNUAL CON MAX 2500 MENSUAL</t>
  </si>
  <si>
    <t>FACTOR DESCUENTO</t>
  </si>
  <si>
    <t>FONDO AHORRADO COP ANTES VIGENCIA NVA LEY</t>
  </si>
  <si>
    <t>FONDO AHORRADO COP DESPUES VIGENCIA NVA LEY</t>
  </si>
  <si>
    <t>FONDO TOTAL APLICABLE</t>
  </si>
  <si>
    <t>SALARIO COTIZADO PARA PROMEDIO</t>
  </si>
  <si>
    <t>SISTEMA</t>
  </si>
  <si>
    <t>1=SEBD/2=SM</t>
  </si>
  <si>
    <t>SALMAX MENSUAL COTIZADO ANTES VIG NVA LEY</t>
  </si>
  <si>
    <t>EDAD</t>
  </si>
  <si>
    <t>TASA REEMPLAZO SISTEMA</t>
  </si>
  <si>
    <t>CUOTAS EN EXCESO A DENSIDAD MIN</t>
  </si>
  <si>
    <t>TASA DE REEMPLAZO SEBD LEY 51</t>
  </si>
  <si>
    <t>PENSION ANNUAL A RECIBIR</t>
  </si>
  <si>
    <t>PENSION MENSUAL A RECIBIR</t>
  </si>
  <si>
    <t>PENSION ACTUARIAL ANNUAL JUSTA</t>
  </si>
  <si>
    <t>SALARIOS PARA CALCULO PROMEDIO MEJORES</t>
  </si>
  <si>
    <t>DISMINUCION DEL FONDO CON PENSION JUSTA</t>
  </si>
  <si>
    <t>PENSION MAXIMA LEY51</t>
  </si>
  <si>
    <t>SALARIO PROMEDIO mejores 10 años</t>
  </si>
  <si>
    <t>CUENTA INICIAL</t>
  </si>
  <si>
    <t>CUENTA FINAL</t>
  </si>
  <si>
    <t>FECHA DE NACIMIENTO</t>
  </si>
  <si>
    <t>FECHA DE PRIMERA CUOTA</t>
  </si>
  <si>
    <t>PROMEDIO DE LOS MEJORES 10 AÑOS</t>
  </si>
  <si>
    <t>PROMEDIO DE LOS MEJORES 15 AÑOS</t>
  </si>
  <si>
    <t>PROMEDIO DE LOS MEJORES 20 AÑOS</t>
  </si>
  <si>
    <t>EDAD ACTUAL DIA DE REFORMA</t>
  </si>
  <si>
    <t>BENEFICIO DE JUBILACION CSS SEBD</t>
  </si>
  <si>
    <t>AHORRO PENSIONAL INICIAL</t>
  </si>
  <si>
    <t>AHORRO PENSIONAL FINAL</t>
  </si>
  <si>
    <t>SALARIO ANUAL CON MAX 2500 MENSUAL</t>
  </si>
  <si>
    <t>PORCENTAJE DE CUOTA OP DESCONTADA SMP</t>
  </si>
  <si>
    <t>SISTEMA DE ACUMULACION DEL SISTEMA MIXTO</t>
  </si>
  <si>
    <t>SALARIO SEGUNDO PILAR</t>
  </si>
  <si>
    <t>BENEFICIO DEL SISTEMA MIXTO</t>
  </si>
  <si>
    <t>PENSION MENSUAL A RECIBIR PRIMER PILAR</t>
  </si>
  <si>
    <t>AHORRO PENSIONAL EDAD JUBILACION</t>
  </si>
  <si>
    <t>FACTOR DE PENSIONAMIENTO XMIL</t>
  </si>
  <si>
    <t>PENSION MENSUAL 2do PILAR</t>
  </si>
  <si>
    <t>PENSION FINAL SISTEMA MIXTO</t>
  </si>
  <si>
    <t>PENSION A RECIBIR DEL SEBD</t>
  </si>
  <si>
    <t>PENSION A RECIBIR SISTEMA MIXTO</t>
  </si>
  <si>
    <t>SCGS-CUANDO VIENE DEL SEBD o SM</t>
  </si>
  <si>
    <t>ACUMULACION SCGS DESPUES DE LA ENTRADA EN VIGENCIA</t>
  </si>
  <si>
    <t>ACUMULACION SCGS ANTES DE LA ENTRADA EN VIGENCIA</t>
  </si>
  <si>
    <t>PENSION A RECIBIR DEL SCGS</t>
  </si>
  <si>
    <t>RESULTADO COMPARATIVO</t>
  </si>
  <si>
    <t>TASA DE REEMPLAZO AJUSTADA SEBD LEY 51</t>
  </si>
  <si>
    <t>MONTO</t>
  </si>
  <si>
    <t>Tabla 1</t>
  </si>
  <si>
    <t>Tabla 2</t>
  </si>
  <si>
    <t>Tabla 3</t>
  </si>
  <si>
    <t>Tabla 4</t>
  </si>
  <si>
    <t>Tabla 5</t>
  </si>
  <si>
    <t>Tabla 6</t>
  </si>
  <si>
    <t>PENSION</t>
  </si>
  <si>
    <t>CALCULO DE LOS MEJORES 10 AÑOS</t>
  </si>
  <si>
    <t>CALCULO DE LOS MEJORES 15 AÑOS
(300 CUOTAS Y PROM&gt;=$2,000)</t>
  </si>
  <si>
    <t>CALCULO DE LOS MEJORES 20 AÑOS
(360 cuotas y prom&gt;=$2,500)</t>
  </si>
  <si>
    <t>TASA DE REEMPLAZO FINAL DE ESTE CALCULO</t>
  </si>
  <si>
    <t>PROM.MENSUAL</t>
  </si>
  <si>
    <t>PROM. ANUAL</t>
  </si>
  <si>
    <t>F</t>
  </si>
  <si>
    <t>Datos Básicos</t>
  </si>
  <si>
    <t>Mej. Salario Anual</t>
  </si>
  <si>
    <t>Mejores Años</t>
  </si>
  <si>
    <t>CUOTAS</t>
  </si>
  <si>
    <t>EXCESO DENSIDAD</t>
  </si>
  <si>
    <t>REEMPLAZO MEJ.AÑOS</t>
  </si>
  <si>
    <t>PENSION MENSUAL SEBD</t>
  </si>
  <si>
    <t>TASA BRUTA REEMPLAZO</t>
  </si>
  <si>
    <t>PROMEDIO ANUAL MEJORES 10 AÑOS PRIMER PILAR</t>
  </si>
  <si>
    <t>PENSION MENSUAL 1er pilarBD</t>
  </si>
  <si>
    <t>AHORRO PERSONAL</t>
  </si>
  <si>
    <t>FACTOR PENSIONAMIENTO VITALICIO</t>
  </si>
  <si>
    <t>PENSION  TOTAL A RECIBIR</t>
  </si>
  <si>
    <t>PROMEDIO ANUAL</t>
  </si>
  <si>
    <t>TOTAL</t>
  </si>
  <si>
    <t>Mej Salario Anual</t>
  </si>
  <si>
    <t>Primer Pilar</t>
  </si>
  <si>
    <t>SALARIO PROMEDIO TOTAL MENSUAL COTIZADO</t>
  </si>
  <si>
    <t>A</t>
  </si>
  <si>
    <t>E</t>
  </si>
  <si>
    <t>B</t>
  </si>
  <si>
    <t>C</t>
  </si>
  <si>
    <t>D</t>
  </si>
  <si>
    <t>G=(F*E)/12</t>
  </si>
  <si>
    <t>E=B+C*D</t>
  </si>
  <si>
    <t>H</t>
  </si>
  <si>
    <t>I=G/H</t>
  </si>
  <si>
    <t>J</t>
  </si>
  <si>
    <t>K=(E*J)/12</t>
  </si>
  <si>
    <t>L</t>
  </si>
  <si>
    <t>N=(L/1000)*M</t>
  </si>
  <si>
    <t>O=N+K</t>
  </si>
  <si>
    <t>P=O/(E/12)</t>
  </si>
  <si>
    <t>Q=O/H</t>
  </si>
  <si>
    <t>R</t>
  </si>
  <si>
    <t>S</t>
  </si>
  <si>
    <t>T=R+S</t>
  </si>
  <si>
    <t>U</t>
  </si>
  <si>
    <t>V=(T/1000)*U</t>
  </si>
  <si>
    <t>W=V/(E/12)</t>
  </si>
  <si>
    <t>X=V/H</t>
  </si>
  <si>
    <t>PENSION SCGS MENSUAL</t>
  </si>
  <si>
    <t>SALARIO COTIZADO 1er PILAR SISTEMA MIXTO ANUAL</t>
  </si>
  <si>
    <t>SALARIO COTIZADO SEGUNDO PILAR ANUAL</t>
  </si>
  <si>
    <t>SALARIO COTIZADO PARA PROMEDIO ANUAL</t>
  </si>
  <si>
    <t>SALARIO COTIZADO PARA PROMEDIO MENSUAL</t>
  </si>
  <si>
    <t>ACUMULACION DESDE EL INICIO DENTRO DEL SISTEMA DE CAPITALIZACION CON GARANTIA SOLIDARIA</t>
  </si>
  <si>
    <t>CRECIMIENTO SALARIAL CADA DOS AÑOS</t>
  </si>
  <si>
    <t>SALARIO INICIAL</t>
  </si>
  <si>
    <t xml:space="preserve">AÑOS PARA JUBILARSE </t>
  </si>
  <si>
    <t>SOLIDARIO</t>
  </si>
  <si>
    <t>MIXTO</t>
  </si>
  <si>
    <t>CAPITALIZACIÓN SOLIDARIA</t>
  </si>
  <si>
    <t>AÑOS EN SISTEMA</t>
  </si>
  <si>
    <t>A
SALARIO MENSUAL</t>
  </si>
  <si>
    <t>SALARIO PROMEDIO ANNUAL</t>
  </si>
  <si>
    <t>PROMEDIO MENSUALIZADO</t>
  </si>
  <si>
    <t>SALARIO ANUAL SIN MAXIMO</t>
  </si>
  <si>
    <t>PENSION A RECIBIR SI ENTRA NUEVO</t>
  </si>
  <si>
    <t>cuotas pagadas por año</t>
  </si>
  <si>
    <t>TOTAL CUOTAS MENSUALES</t>
  </si>
  <si>
    <t>tasa capitalizacion mixto</t>
  </si>
  <si>
    <t>VP</t>
  </si>
  <si>
    <t>RA*ax</t>
  </si>
  <si>
    <t>VP/ax</t>
  </si>
  <si>
    <t>12*RM</t>
  </si>
  <si>
    <t>vp * (1/ax)</t>
  </si>
  <si>
    <t>B
CUOTAS PROMEDIO PAGADAS POR AÑO</t>
  </si>
  <si>
    <t>C
AÑOS EN EL SISTEMA</t>
  </si>
  <si>
    <t>D
CUOTAS TOTALES PAGADAS
=B*C</t>
  </si>
  <si>
    <t>E
AÑOS DE TRABAJO FORMALES</t>
  </si>
  <si>
    <t>K
PROMEDIO ANUAL MEJORES 10 AÑOS TOTAL</t>
  </si>
  <si>
    <t>L
PROMEDIO ANUAL MEJORES 10 AÑOS 1er PILAR</t>
  </si>
  <si>
    <t>Nota&gt;**</t>
  </si>
  <si>
    <t>FACTOR PENSIONAMIENTO MANCOMUNADO</t>
  </si>
  <si>
    <t>O
PENSION COMPONENTE AHORRO 2do PILAR
=(N/1000)*factor Pensionamiento</t>
  </si>
  <si>
    <t>I
CUOTA ANUAL TOTAL =15%*F</t>
  </si>
  <si>
    <t>N
CUENTA INDIVIDUAL ACUMULADA 2DO PILAR SMIXTO Ley 51 al 4% A  EDAD JUBILACION. Ver Nota**</t>
  </si>
  <si>
    <t>F
SALARIO ANNUAL
=B*A</t>
  </si>
  <si>
    <t>G
SALARIO PRIMER PILAR o SOLIDARIO
=$500*B</t>
  </si>
  <si>
    <t>J
CUOTA ANUAL CUENTA INDIVIDUAL 2do Pilar Ahorro =10%*H</t>
  </si>
  <si>
    <t>M
PENSION MENSUAL COMPONENTE BD 1ER PILAR
=(60%*L+
(1.25%*(E-20)*L))/12</t>
  </si>
  <si>
    <t>SISTEMA MIXTO</t>
  </si>
  <si>
    <t>COMPONENTE SOLIDARIO</t>
  </si>
  <si>
    <t>AHORRO</t>
  </si>
  <si>
    <t>SISTEMA DE BENEFICIO DEFINIDO</t>
  </si>
  <si>
    <t>SISTEMA CUENTA INDIVIDUAL</t>
  </si>
  <si>
    <t>TIPO DE SISTEMA</t>
  </si>
  <si>
    <t>COMPONENTE 2</t>
  </si>
  <si>
    <t>COMPONENTE 1</t>
  </si>
  <si>
    <t>SOLIDARIO&gt; EL BENEFICIO SE CALCULA CON UNA FORMULA SENCILLA, PERO QUE PUEDE HACER QUE EL SISTEMA QUIEBRE SINO HAY SUSTENTO PARA EL FINANCIAMIENTO</t>
  </si>
  <si>
    <t>AHORRO&gt; EL BENEFICIO SE CALCULA CONFORME A LO QUE ESTA ACUMULADO EN LA CUENTA DE AHORRO</t>
  </si>
  <si>
    <t>600K</t>
  </si>
  <si>
    <t>personas aprox</t>
  </si>
  <si>
    <t>H
SALARIO SEGUNDO PILAR o COMP AHORRO
=F-G</t>
  </si>
  <si>
    <t>P
CUENTA INDIVIDUAL ACUMULADA TOTAL NUEVA LEY 462 al 4% A EDAD DE JUBILACION. VER NOTA **</t>
  </si>
  <si>
    <t xml:space="preserve">
AÑOS EN EL SISTEMA</t>
  </si>
  <si>
    <t xml:space="preserve">
AÑOS DE TRABAJO FORMALES</t>
  </si>
  <si>
    <r>
      <t xml:space="preserve">U
</t>
    </r>
    <r>
      <rPr>
        <b/>
        <sz val="11"/>
        <color theme="1"/>
        <rFont val="Aptos Narrow"/>
        <scheme val="minor"/>
      </rPr>
      <t>TASAS DE REEMPLAZO Ley 51</t>
    </r>
    <r>
      <rPr>
        <sz val="11"/>
        <color theme="1"/>
        <rFont val="Aptos Narrow"/>
        <family val="2"/>
        <scheme val="minor"/>
      </rPr>
      <t xml:space="preserve"> Mixto=R/K</t>
    </r>
  </si>
  <si>
    <r>
      <rPr>
        <sz val="11"/>
        <color theme="1"/>
        <rFont val="Aptos Narrow"/>
        <scheme val="minor"/>
      </rPr>
      <t>V</t>
    </r>
    <r>
      <rPr>
        <b/>
        <sz val="11"/>
        <color theme="1"/>
        <rFont val="Aptos Narrow"/>
        <scheme val="minor"/>
      </rPr>
      <t xml:space="preserve">
TASAS DE REEMPLAZO Ley 51 </t>
    </r>
    <r>
      <rPr>
        <sz val="11"/>
        <color theme="1"/>
        <rFont val="Aptos Narrow"/>
        <scheme val="minor"/>
      </rPr>
      <t>SEBD=S/K</t>
    </r>
  </si>
  <si>
    <r>
      <t xml:space="preserve">T
</t>
    </r>
    <r>
      <rPr>
        <b/>
        <sz val="11"/>
        <color theme="1"/>
        <rFont val="Aptos Narrow"/>
        <scheme val="minor"/>
      </rPr>
      <t>TASA DE REEMPLAZO NUEVA</t>
    </r>
    <r>
      <rPr>
        <sz val="11"/>
        <color theme="1"/>
        <rFont val="Aptos Narrow"/>
        <family val="2"/>
        <scheme val="minor"/>
      </rPr>
      <t xml:space="preserve"> LEY=Q/K</t>
    </r>
  </si>
  <si>
    <r>
      <t xml:space="preserve">S
</t>
    </r>
    <r>
      <rPr>
        <b/>
        <sz val="11"/>
        <color theme="1"/>
        <rFont val="Aptos Narrow"/>
        <scheme val="minor"/>
      </rPr>
      <t>JUBILACIÓN     LEY 51 SEBD</t>
    </r>
    <r>
      <rPr>
        <sz val="11"/>
        <color theme="1"/>
        <rFont val="Aptos Narrow"/>
        <family val="2"/>
        <scheme val="minor"/>
      </rPr>
      <t xml:space="preserve">
=(60%*K+
(1.25%*(E-20)*K))/12</t>
    </r>
  </si>
  <si>
    <r>
      <t>R</t>
    </r>
    <r>
      <rPr>
        <b/>
        <sz val="11"/>
        <color theme="1"/>
        <rFont val="Aptos Narrow"/>
        <scheme val="minor"/>
      </rPr>
      <t xml:space="preserve">              JUBILACION SEGUN LEY 51</t>
    </r>
    <r>
      <rPr>
        <sz val="11"/>
        <color theme="1"/>
        <rFont val="Aptos Narrow"/>
        <family val="2"/>
        <scheme val="minor"/>
      </rPr>
      <t xml:space="preserve"> SISTEMA MIXTO
=M+O</t>
    </r>
  </si>
  <si>
    <r>
      <t xml:space="preserve">Q
</t>
    </r>
    <r>
      <rPr>
        <b/>
        <sz val="11"/>
        <color theme="1"/>
        <rFont val="Aptos Narrow"/>
        <scheme val="minor"/>
      </rPr>
      <t xml:space="preserve">JUBILACIÓN        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scheme val="minor"/>
      </rPr>
      <t>P NUEVA LEY 462</t>
    </r>
    <r>
      <rPr>
        <sz val="11"/>
        <color theme="1"/>
        <rFont val="Aptos Narrow"/>
        <family val="2"/>
        <scheme val="minor"/>
      </rPr>
      <t xml:space="preserve">
=(P/1000)*factor Pensionamiento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</si>
</sst>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\ * #,##0.00_-;\-&quot;$&quot;\ * #,##0.00_-;_-&quot;$&quot;\ * &quot;-&quot;??_-;_-@_-"/>
    <numFmt numFmtId="168" formatCode="_(* #,##0_);_(* \(#,##0\);_(* &quot;-&quot;??_);_(@_)"/>
    <numFmt numFmtId="169" formatCode="_(* #,##0.00000_);_(* \(#,##0.00000\);_(* &quot;-&quot;??_);_(@_)"/>
    <numFmt numFmtId="170" formatCode="_-* #,##0_-;\-* #,##0_-;_-* &quot;-&quot;??_-;_-@_-"/>
    <numFmt numFmtId="171" formatCode="_(&quot;$&quot;* #,##0_);_(&quot;$&quot;* \(#,##0\);_(&quot;$&quot;* &quot;-&quot;??_);_(@_)"/>
    <numFmt numFmtId="172" formatCode="_-* #,##0.000_-;\-* #,##0.000_-;_-* &quot;-&quot;??_-;_-@_-"/>
    <numFmt numFmtId="173" formatCode="_-* #,##0.0_-;\-* #,##0.0_-;_-* &quot;-&quot;??_-;_-@_-"/>
    <numFmt numFmtId="174" formatCode="0.000000_)"/>
    <numFmt numFmtId="175" formatCode="_(* #,##0.0_);_(* \(#,##0.0\);_(* &quot;-&quot;??_);_(@_)"/>
    <numFmt numFmtId="176" formatCode="#,##0.00;[Red]\(#,##0.00\)"/>
    <numFmt numFmtId="177" formatCode="0.0%"/>
    <numFmt numFmtId="178" formatCode="0.0"/>
    <numFmt numFmtId="179" formatCode="_-* #,##0.00000_-;\-* #,##0.00000_-;_-* &quot;-&quot;??_-;_-@_-"/>
    <numFmt numFmtId="180" formatCode="_-* #,##0.00\ _€_-;\-* #,##0.00\ _€_-;_-* &quot;-&quot;??\ _€_-;_-@_-"/>
    <numFmt numFmtId="181" formatCode="_(* #,##0.0000_);_(* \(#,##0.000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1"/>
      <color rgb="FF0070C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Courier"/>
      <family val="3"/>
    </font>
    <font>
      <b/>
      <sz val="11"/>
      <color rgb="FF0070C0"/>
      <name val="Calibri"/>
      <family val="2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4" fontId="12" fillId="0" borderId="0"/>
    <xf numFmtId="9" fontId="8" fillId="0" borderId="0" applyFont="0" applyFill="0" applyBorder="0" applyAlignment="0" applyProtection="0"/>
  </cellStyleXfs>
  <cellXfs count="288">
    <xf numFmtId="0" fontId="0" fillId="0" borderId="0" xfId="0"/>
    <xf numFmtId="0" fontId="0" fillId="2" borderId="0" xfId="0" applyFill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2" fontId="0" fillId="0" borderId="0" xfId="0" applyNumberFormat="1"/>
    <xf numFmtId="2" fontId="7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0" xfId="2" applyNumberFormat="1" applyFont="1"/>
    <xf numFmtId="1" fontId="2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166" fontId="0" fillId="0" borderId="0" xfId="1" applyFont="1"/>
    <xf numFmtId="166" fontId="0" fillId="0" borderId="0" xfId="0" applyNumberFormat="1"/>
    <xf numFmtId="9" fontId="0" fillId="0" borderId="0" xfId="3" applyFont="1"/>
    <xf numFmtId="10" fontId="2" fillId="0" borderId="0" xfId="3" applyNumberFormat="1" applyFont="1"/>
    <xf numFmtId="1" fontId="0" fillId="0" borderId="0" xfId="0" applyNumberFormat="1"/>
    <xf numFmtId="166" fontId="9" fillId="0" borderId="0" xfId="1" applyFont="1" applyAlignment="1">
      <alignment horizontal="center"/>
    </xf>
    <xf numFmtId="0" fontId="10" fillId="0" borderId="0" xfId="0" applyFont="1"/>
    <xf numFmtId="169" fontId="0" fillId="0" borderId="0" xfId="1" applyNumberFormat="1" applyFont="1"/>
    <xf numFmtId="0" fontId="2" fillId="0" borderId="0" xfId="0" applyFont="1" applyAlignment="1">
      <alignment wrapText="1"/>
    </xf>
    <xf numFmtId="170" fontId="0" fillId="0" borderId="0" xfId="1" applyNumberFormat="1" applyFont="1"/>
    <xf numFmtId="170" fontId="9" fillId="0" borderId="0" xfId="1" applyNumberFormat="1" applyFont="1"/>
    <xf numFmtId="168" fontId="0" fillId="0" borderId="0" xfId="0" applyNumberFormat="1"/>
    <xf numFmtId="169" fontId="9" fillId="0" borderId="0" xfId="1" applyNumberFormat="1" applyFont="1" applyAlignment="1">
      <alignment horizontal="center"/>
    </xf>
    <xf numFmtId="168" fontId="9" fillId="0" borderId="0" xfId="1" applyNumberFormat="1" applyFont="1"/>
    <xf numFmtId="165" fontId="9" fillId="0" borderId="0" xfId="2" applyFont="1"/>
    <xf numFmtId="10" fontId="9" fillId="0" borderId="0" xfId="3" applyNumberFormat="1" applyFont="1"/>
    <xf numFmtId="169" fontId="2" fillId="0" borderId="0" xfId="1" applyNumberFormat="1" applyFont="1"/>
    <xf numFmtId="169" fontId="0" fillId="0" borderId="0" xfId="1" applyNumberFormat="1" applyFont="1" applyAlignment="1">
      <alignment horizontal="left"/>
    </xf>
    <xf numFmtId="43" fontId="0" fillId="0" borderId="0" xfId="0" applyNumberFormat="1"/>
    <xf numFmtId="165" fontId="2" fillId="0" borderId="0" xfId="2" applyFont="1"/>
    <xf numFmtId="9" fontId="9" fillId="0" borderId="0" xfId="3" applyFont="1"/>
    <xf numFmtId="0" fontId="0" fillId="0" borderId="0" xfId="0" applyAlignment="1">
      <alignment horizontal="center" wrapText="1"/>
    </xf>
    <xf numFmtId="171" fontId="2" fillId="0" borderId="0" xfId="2" applyNumberFormat="1" applyFont="1"/>
    <xf numFmtId="166" fontId="0" fillId="0" borderId="0" xfId="1" applyFont="1" applyAlignment="1">
      <alignment horizontal="center" wrapText="1"/>
    </xf>
    <xf numFmtId="170" fontId="2" fillId="0" borderId="0" xfId="1" applyNumberFormat="1" applyFont="1"/>
    <xf numFmtId="165" fontId="2" fillId="0" borderId="0" xfId="0" applyNumberFormat="1" applyFont="1"/>
    <xf numFmtId="0" fontId="0" fillId="0" borderId="0" xfId="0" applyAlignment="1">
      <alignment horizontal="left" wrapText="1"/>
    </xf>
    <xf numFmtId="170" fontId="0" fillId="0" borderId="0" xfId="0" applyNumberFormat="1"/>
    <xf numFmtId="169" fontId="0" fillId="0" borderId="5" xfId="1" applyNumberFormat="1" applyFont="1" applyBorder="1" applyAlignment="1">
      <alignment horizontal="center" wrapText="1"/>
    </xf>
    <xf numFmtId="170" fontId="0" fillId="0" borderId="5" xfId="1" applyNumberFormat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70" fontId="0" fillId="0" borderId="4" xfId="1" applyNumberFormat="1" applyFont="1" applyBorder="1" applyAlignment="1">
      <alignment horizontal="center" wrapText="1"/>
    </xf>
    <xf numFmtId="170" fontId="0" fillId="0" borderId="6" xfId="1" applyNumberFormat="1" applyFont="1" applyBorder="1" applyAlignment="1">
      <alignment horizontal="center" wrapText="1"/>
    </xf>
    <xf numFmtId="169" fontId="0" fillId="0" borderId="0" xfId="1" applyNumberFormat="1" applyFont="1" applyAlignment="1">
      <alignment horizontal="center"/>
    </xf>
    <xf numFmtId="170" fontId="0" fillId="0" borderId="8" xfId="0" applyNumberFormat="1" applyBorder="1"/>
    <xf numFmtId="170" fontId="0" fillId="0" borderId="10" xfId="1" applyNumberFormat="1" applyFont="1" applyBorder="1"/>
    <xf numFmtId="170" fontId="0" fillId="0" borderId="11" xfId="1" applyNumberFormat="1" applyFont="1" applyBorder="1"/>
    <xf numFmtId="10" fontId="0" fillId="0" borderId="10" xfId="3" applyNumberFormat="1" applyFont="1" applyBorder="1"/>
    <xf numFmtId="173" fontId="0" fillId="0" borderId="0" xfId="0" applyNumberFormat="1"/>
    <xf numFmtId="170" fontId="0" fillId="0" borderId="0" xfId="1" applyNumberFormat="1" applyFont="1" applyBorder="1"/>
    <xf numFmtId="170" fontId="0" fillId="0" borderId="13" xfId="1" applyNumberFormat="1" applyFont="1" applyBorder="1"/>
    <xf numFmtId="10" fontId="0" fillId="0" borderId="0" xfId="3" applyNumberFormat="1" applyFont="1" applyBorder="1"/>
    <xf numFmtId="170" fontId="0" fillId="0" borderId="2" xfId="1" applyNumberFormat="1" applyFont="1" applyBorder="1"/>
    <xf numFmtId="173" fontId="0" fillId="0" borderId="3" xfId="0" applyNumberFormat="1" applyBorder="1"/>
    <xf numFmtId="170" fontId="0" fillId="0" borderId="7" xfId="1" applyNumberFormat="1" applyFont="1" applyBorder="1" applyAlignment="1">
      <alignment horizontal="center" wrapText="1"/>
    </xf>
    <xf numFmtId="170" fontId="0" fillId="0" borderId="12" xfId="1" applyNumberFormat="1" applyFont="1" applyBorder="1" applyAlignment="1">
      <alignment horizontal="center" wrapText="1"/>
    </xf>
    <xf numFmtId="170" fontId="0" fillId="0" borderId="16" xfId="1" applyNumberFormat="1" applyFont="1" applyBorder="1" applyAlignment="1">
      <alignment horizontal="center" wrapText="1"/>
    </xf>
    <xf numFmtId="170" fontId="3" fillId="0" borderId="0" xfId="0" applyNumberFormat="1" applyFont="1"/>
    <xf numFmtId="43" fontId="2" fillId="0" borderId="0" xfId="0" applyNumberFormat="1" applyFont="1" applyAlignment="1">
      <alignment horizontal="center" wrapText="1"/>
    </xf>
    <xf numFmtId="9" fontId="2" fillId="0" borderId="0" xfId="3" applyFont="1"/>
    <xf numFmtId="0" fontId="7" fillId="0" borderId="0" xfId="0" applyFont="1" applyAlignment="1">
      <alignment horizontal="center" wrapText="1"/>
    </xf>
    <xf numFmtId="9" fontId="0" fillId="0" borderId="0" xfId="0" applyNumberFormat="1"/>
    <xf numFmtId="169" fontId="2" fillId="0" borderId="0" xfId="1" applyNumberFormat="1" applyFont="1" applyAlignment="1">
      <alignment horizontal="left"/>
    </xf>
    <xf numFmtId="169" fontId="0" fillId="0" borderId="6" xfId="1" applyNumberFormat="1" applyFont="1" applyBorder="1" applyAlignment="1">
      <alignment horizontal="center" wrapText="1"/>
    </xf>
    <xf numFmtId="170" fontId="0" fillId="0" borderId="3" xfId="1" applyNumberFormat="1" applyFont="1" applyBorder="1"/>
    <xf numFmtId="10" fontId="0" fillId="0" borderId="3" xfId="3" applyNumberFormat="1" applyFont="1" applyBorder="1"/>
    <xf numFmtId="170" fontId="0" fillId="0" borderId="15" xfId="1" applyNumberFormat="1" applyFont="1" applyBorder="1"/>
    <xf numFmtId="170" fontId="0" fillId="0" borderId="19" xfId="1" applyNumberFormat="1" applyFont="1" applyBorder="1"/>
    <xf numFmtId="0" fontId="0" fillId="2" borderId="0" xfId="0" applyFill="1" applyAlignment="1">
      <alignment horizontal="right"/>
    </xf>
    <xf numFmtId="0" fontId="2" fillId="0" borderId="0" xfId="0" applyFont="1" applyAlignment="1">
      <alignment horizontal="center"/>
    </xf>
    <xf numFmtId="166" fontId="9" fillId="0" borderId="0" xfId="1" applyFont="1"/>
    <xf numFmtId="170" fontId="0" fillId="0" borderId="0" xfId="1" applyNumberFormat="1" applyFont="1" applyBorder="1" applyAlignment="1">
      <alignment horizontal="center" wrapText="1"/>
    </xf>
    <xf numFmtId="170" fontId="0" fillId="0" borderId="20" xfId="1" applyNumberFormat="1" applyFont="1" applyBorder="1" applyAlignment="1">
      <alignment horizontal="center" wrapText="1"/>
    </xf>
    <xf numFmtId="170" fontId="0" fillId="0" borderId="3" xfId="1" applyNumberFormat="1" applyFont="1" applyBorder="1" applyAlignment="1">
      <alignment horizontal="center" wrapText="1"/>
    </xf>
    <xf numFmtId="10" fontId="0" fillId="0" borderId="0" xfId="3" applyNumberFormat="1" applyFont="1"/>
    <xf numFmtId="165" fontId="2" fillId="0" borderId="0" xfId="3" applyNumberFormat="1" applyFont="1"/>
    <xf numFmtId="1" fontId="0" fillId="0" borderId="3" xfId="0" applyNumberFormat="1" applyBorder="1"/>
    <xf numFmtId="170" fontId="0" fillId="0" borderId="3" xfId="0" applyNumberFormat="1" applyBorder="1"/>
    <xf numFmtId="1" fontId="0" fillId="0" borderId="20" xfId="0" applyNumberFormat="1" applyBorder="1"/>
    <xf numFmtId="170" fontId="0" fillId="0" borderId="20" xfId="0" applyNumberFormat="1" applyBorder="1"/>
    <xf numFmtId="173" fontId="0" fillId="0" borderId="20" xfId="0" applyNumberFormat="1" applyBorder="1"/>
    <xf numFmtId="0" fontId="13" fillId="0" borderId="22" xfId="4" applyFont="1" applyBorder="1"/>
    <xf numFmtId="165" fontId="2" fillId="2" borderId="0" xfId="2" applyFont="1" applyFill="1" applyAlignment="1">
      <alignment horizontal="center" wrapText="1"/>
    </xf>
    <xf numFmtId="165" fontId="2" fillId="2" borderId="0" xfId="2" applyFont="1" applyFill="1"/>
    <xf numFmtId="170" fontId="0" fillId="0" borderId="20" xfId="1" applyNumberFormat="1" applyFont="1" applyBorder="1"/>
    <xf numFmtId="170" fontId="0" fillId="0" borderId="22" xfId="1" applyNumberFormat="1" applyFont="1" applyBorder="1"/>
    <xf numFmtId="172" fontId="0" fillId="0" borderId="22" xfId="1" applyNumberFormat="1" applyFont="1" applyBorder="1"/>
    <xf numFmtId="166" fontId="0" fillId="0" borderId="22" xfId="1" applyFont="1" applyBorder="1"/>
    <xf numFmtId="170" fontId="0" fillId="0" borderId="23" xfId="1" applyNumberFormat="1" applyFont="1" applyBorder="1" applyAlignment="1">
      <alignment horizontal="center" wrapText="1"/>
    </xf>
    <xf numFmtId="170" fontId="0" fillId="0" borderId="24" xfId="1" applyNumberFormat="1" applyFont="1" applyBorder="1"/>
    <xf numFmtId="172" fontId="0" fillId="0" borderId="24" xfId="1" applyNumberFormat="1" applyFont="1" applyBorder="1"/>
    <xf numFmtId="166" fontId="0" fillId="0" borderId="24" xfId="1" applyFont="1" applyBorder="1"/>
    <xf numFmtId="0" fontId="13" fillId="0" borderId="24" xfId="4" applyFont="1" applyBorder="1"/>
    <xf numFmtId="166" fontId="13" fillId="0" borderId="25" xfId="5" applyFont="1" applyBorder="1"/>
    <xf numFmtId="170" fontId="0" fillId="0" borderId="26" xfId="1" applyNumberFormat="1" applyFont="1" applyBorder="1" applyAlignment="1">
      <alignment horizontal="center" wrapText="1"/>
    </xf>
    <xf numFmtId="166" fontId="13" fillId="0" borderId="27" xfId="5" applyFont="1" applyBorder="1"/>
    <xf numFmtId="170" fontId="0" fillId="0" borderId="27" xfId="1" applyNumberFormat="1" applyFont="1" applyBorder="1"/>
    <xf numFmtId="170" fontId="0" fillId="0" borderId="28" xfId="1" applyNumberFormat="1" applyFont="1" applyBorder="1" applyAlignment="1">
      <alignment horizontal="center" wrapText="1"/>
    </xf>
    <xf numFmtId="170" fontId="0" fillId="0" borderId="29" xfId="1" applyNumberFormat="1" applyFont="1" applyBorder="1"/>
    <xf numFmtId="172" fontId="0" fillId="0" borderId="29" xfId="1" applyNumberFormat="1" applyFont="1" applyBorder="1"/>
    <xf numFmtId="170" fontId="0" fillId="0" borderId="30" xfId="1" applyNumberFormat="1" applyFont="1" applyBorder="1"/>
    <xf numFmtId="10" fontId="0" fillId="0" borderId="24" xfId="3" applyNumberFormat="1" applyFont="1" applyBorder="1"/>
    <xf numFmtId="168" fontId="0" fillId="0" borderId="24" xfId="1" applyNumberFormat="1" applyFont="1" applyBorder="1"/>
    <xf numFmtId="170" fontId="0" fillId="0" borderId="25" xfId="1" applyNumberFormat="1" applyFont="1" applyBorder="1"/>
    <xf numFmtId="10" fontId="0" fillId="0" borderId="22" xfId="3" applyNumberFormat="1" applyFont="1" applyBorder="1"/>
    <xf numFmtId="168" fontId="0" fillId="0" borderId="22" xfId="1" applyNumberFormat="1" applyFont="1" applyBorder="1"/>
    <xf numFmtId="10" fontId="0" fillId="0" borderId="29" xfId="3" applyNumberFormat="1" applyFont="1" applyBorder="1"/>
    <xf numFmtId="168" fontId="0" fillId="0" borderId="29" xfId="1" applyNumberFormat="1" applyFont="1" applyBorder="1"/>
    <xf numFmtId="0" fontId="0" fillId="4" borderId="0" xfId="0" applyFill="1"/>
    <xf numFmtId="14" fontId="9" fillId="4" borderId="0" xfId="1" applyNumberFormat="1" applyFont="1" applyFill="1" applyAlignment="1">
      <alignment horizontal="center"/>
    </xf>
    <xf numFmtId="166" fontId="0" fillId="4" borderId="22" xfId="1" applyFont="1" applyFill="1" applyBorder="1"/>
    <xf numFmtId="0" fontId="13" fillId="4" borderId="22" xfId="4" applyFont="1" applyFill="1" applyBorder="1"/>
    <xf numFmtId="166" fontId="13" fillId="4" borderId="27" xfId="5" applyFont="1" applyFill="1" applyBorder="1"/>
    <xf numFmtId="170" fontId="0" fillId="0" borderId="26" xfId="1" applyNumberFormat="1" applyFont="1" applyFill="1" applyBorder="1" applyAlignment="1">
      <alignment horizontal="center" wrapText="1"/>
    </xf>
    <xf numFmtId="170" fontId="0" fillId="0" borderId="22" xfId="1" applyNumberFormat="1" applyFont="1" applyFill="1" applyBorder="1"/>
    <xf numFmtId="172" fontId="0" fillId="0" borderId="22" xfId="1" applyNumberFormat="1" applyFont="1" applyFill="1" applyBorder="1"/>
    <xf numFmtId="10" fontId="0" fillId="0" borderId="22" xfId="3" applyNumberFormat="1" applyFont="1" applyFill="1" applyBorder="1"/>
    <xf numFmtId="166" fontId="0" fillId="0" borderId="22" xfId="1" applyFont="1" applyFill="1" applyBorder="1"/>
    <xf numFmtId="166" fontId="13" fillId="0" borderId="27" xfId="5" applyFont="1" applyFill="1" applyBorder="1"/>
    <xf numFmtId="168" fontId="0" fillId="0" borderId="22" xfId="1" applyNumberFormat="1" applyFont="1" applyFill="1" applyBorder="1"/>
    <xf numFmtId="170" fontId="0" fillId="0" borderId="27" xfId="1" applyNumberFormat="1" applyFont="1" applyFill="1" applyBorder="1"/>
    <xf numFmtId="170" fontId="0" fillId="0" borderId="12" xfId="1" applyNumberFormat="1" applyFont="1" applyFill="1" applyBorder="1" applyAlignment="1">
      <alignment horizontal="center" wrapText="1"/>
    </xf>
    <xf numFmtId="170" fontId="0" fillId="0" borderId="0" xfId="1" applyNumberFormat="1" applyFont="1" applyFill="1" applyBorder="1"/>
    <xf numFmtId="10" fontId="0" fillId="0" borderId="0" xfId="3" applyNumberFormat="1" applyFont="1" applyFill="1" applyBorder="1"/>
    <xf numFmtId="170" fontId="0" fillId="0" borderId="10" xfId="1" applyNumberFormat="1" applyFont="1" applyFill="1" applyBorder="1"/>
    <xf numFmtId="170" fontId="0" fillId="0" borderId="13" xfId="1" applyNumberFormat="1" applyFont="1" applyFill="1" applyBorder="1"/>
    <xf numFmtId="170" fontId="0" fillId="0" borderId="0" xfId="1" applyNumberFormat="1" applyFont="1" applyFill="1" applyBorder="1" applyAlignment="1">
      <alignment horizontal="center" wrapText="1"/>
    </xf>
    <xf numFmtId="170" fontId="0" fillId="4" borderId="23" xfId="1" applyNumberFormat="1" applyFont="1" applyFill="1" applyBorder="1" applyAlignment="1">
      <alignment horizontal="center" wrapText="1"/>
    </xf>
    <xf numFmtId="167" fontId="0" fillId="0" borderId="0" xfId="0" applyNumberFormat="1"/>
    <xf numFmtId="176" fontId="0" fillId="0" borderId="20" xfId="1" applyNumberFormat="1" applyFont="1" applyBorder="1"/>
    <xf numFmtId="176" fontId="0" fillId="0" borderId="21" xfId="0" applyNumberFormat="1" applyBorder="1"/>
    <xf numFmtId="176" fontId="0" fillId="0" borderId="0" xfId="1" applyNumberFormat="1" applyFont="1"/>
    <xf numFmtId="176" fontId="0" fillId="0" borderId="8" xfId="0" applyNumberFormat="1" applyBorder="1"/>
    <xf numFmtId="176" fontId="0" fillId="0" borderId="3" xfId="1" applyNumberFormat="1" applyFont="1" applyBorder="1"/>
    <xf numFmtId="176" fontId="0" fillId="0" borderId="17" xfId="0" applyNumberFormat="1" applyBorder="1"/>
    <xf numFmtId="167" fontId="14" fillId="0" borderId="0" xfId="0" applyNumberFormat="1" applyFont="1"/>
    <xf numFmtId="170" fontId="15" fillId="0" borderId="0" xfId="1" applyNumberFormat="1" applyFont="1"/>
    <xf numFmtId="165" fontId="0" fillId="0" borderId="0" xfId="0" applyNumberFormat="1"/>
    <xf numFmtId="10" fontId="0" fillId="0" borderId="20" xfId="3" applyNumberFormat="1" applyFont="1" applyBorder="1"/>
    <xf numFmtId="170" fontId="0" fillId="0" borderId="31" xfId="1" applyNumberFormat="1" applyFont="1" applyBorder="1"/>
    <xf numFmtId="0" fontId="2" fillId="0" borderId="0" xfId="0" applyFont="1"/>
    <xf numFmtId="165" fontId="0" fillId="0" borderId="0" xfId="2" applyFont="1"/>
    <xf numFmtId="166" fontId="2" fillId="2" borderId="0" xfId="0" applyNumberFormat="1" applyFont="1" applyFill="1"/>
    <xf numFmtId="167" fontId="2" fillId="0" borderId="0" xfId="0" applyNumberFormat="1" applyFont="1"/>
    <xf numFmtId="167" fontId="0" fillId="0" borderId="0" xfId="0" applyNumberFormat="1" applyAlignment="1">
      <alignment horizontal="center" wrapText="1"/>
    </xf>
    <xf numFmtId="10" fontId="0" fillId="0" borderId="0" xfId="3" applyNumberFormat="1" applyFont="1" applyFill="1"/>
    <xf numFmtId="165" fontId="2" fillId="0" borderId="0" xfId="2" applyFont="1" applyFill="1" applyAlignment="1">
      <alignment horizontal="center" wrapText="1"/>
    </xf>
    <xf numFmtId="165" fontId="2" fillId="0" borderId="0" xfId="2" applyFont="1" applyFill="1"/>
    <xf numFmtId="169" fontId="0" fillId="0" borderId="0" xfId="1" applyNumberFormat="1" applyFont="1" applyFill="1" applyAlignment="1">
      <alignment horizontal="left"/>
    </xf>
    <xf numFmtId="165" fontId="2" fillId="2" borderId="0" xfId="2" applyFont="1" applyFill="1" applyAlignment="1">
      <alignment horizontal="right"/>
    </xf>
    <xf numFmtId="177" fontId="2" fillId="2" borderId="0" xfId="3" applyNumberFormat="1" applyFont="1" applyFill="1"/>
    <xf numFmtId="10" fontId="2" fillId="2" borderId="0" xfId="3" applyNumberFormat="1" applyFont="1" applyFill="1"/>
    <xf numFmtId="10" fontId="0" fillId="5" borderId="0" xfId="3" applyNumberFormat="1" applyFont="1" applyFill="1"/>
    <xf numFmtId="178" fontId="2" fillId="0" borderId="0" xfId="3" applyNumberFormat="1" applyFont="1"/>
    <xf numFmtId="170" fontId="0" fillId="2" borderId="12" xfId="1" applyNumberFormat="1" applyFont="1" applyFill="1" applyBorder="1" applyAlignment="1">
      <alignment horizontal="center" wrapText="1"/>
    </xf>
    <xf numFmtId="170" fontId="0" fillId="2" borderId="0" xfId="1" applyNumberFormat="1" applyFont="1" applyFill="1" applyBorder="1"/>
    <xf numFmtId="10" fontId="0" fillId="2" borderId="0" xfId="3" applyNumberFormat="1" applyFont="1" applyFill="1" applyBorder="1"/>
    <xf numFmtId="170" fontId="0" fillId="2" borderId="13" xfId="1" applyNumberFormat="1" applyFont="1" applyFill="1" applyBorder="1"/>
    <xf numFmtId="170" fontId="0" fillId="2" borderId="0" xfId="1" applyNumberFormat="1" applyFont="1" applyFill="1" applyBorder="1" applyAlignment="1">
      <alignment horizontal="center" wrapText="1"/>
    </xf>
    <xf numFmtId="169" fontId="0" fillId="0" borderId="0" xfId="1" applyNumberFormat="1" applyFont="1" applyFill="1"/>
    <xf numFmtId="170" fontId="2" fillId="0" borderId="0" xfId="0" applyNumberFormat="1" applyFont="1"/>
    <xf numFmtId="4" fontId="2" fillId="0" borderId="0" xfId="0" applyNumberFormat="1" applyFont="1"/>
    <xf numFmtId="10" fontId="2" fillId="2" borderId="0" xfId="0" applyNumberFormat="1" applyFont="1" applyFill="1" applyAlignment="1">
      <alignment horizontal="center" wrapText="1"/>
    </xf>
    <xf numFmtId="9" fontId="2" fillId="2" borderId="0" xfId="3" applyFont="1" applyFill="1"/>
    <xf numFmtId="166" fontId="2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65" fontId="2" fillId="2" borderId="0" xfId="0" applyNumberFormat="1" applyFont="1" applyFill="1"/>
    <xf numFmtId="168" fontId="2" fillId="0" borderId="0" xfId="1" applyNumberFormat="1" applyFont="1"/>
    <xf numFmtId="169" fontId="2" fillId="6" borderId="0" xfId="1" applyNumberFormat="1" applyFont="1" applyFill="1"/>
    <xf numFmtId="0" fontId="0" fillId="6" borderId="0" xfId="0" applyFill="1"/>
    <xf numFmtId="170" fontId="0" fillId="6" borderId="0" xfId="1" applyNumberFormat="1" applyFont="1" applyFill="1"/>
    <xf numFmtId="165" fontId="2" fillId="0" borderId="0" xfId="2" applyFont="1" applyFill="1" applyAlignment="1">
      <alignment horizontal="left" wrapText="1"/>
    </xf>
    <xf numFmtId="166" fontId="2" fillId="0" borderId="0" xfId="1" applyFont="1" applyAlignment="1">
      <alignment horizontal="center" wrapText="1"/>
    </xf>
    <xf numFmtId="9" fontId="2" fillId="0" borderId="0" xfId="3" applyFont="1" applyFill="1"/>
    <xf numFmtId="0" fontId="0" fillId="0" borderId="5" xfId="0" applyBorder="1" applyAlignment="1">
      <alignment horizontal="center" wrapText="1"/>
    </xf>
    <xf numFmtId="170" fontId="1" fillId="0" borderId="11" xfId="1" applyNumberFormat="1" applyFont="1" applyFill="1" applyBorder="1"/>
    <xf numFmtId="170" fontId="1" fillId="0" borderId="13" xfId="1" applyNumberFormat="1" applyFont="1" applyFill="1" applyBorder="1"/>
    <xf numFmtId="170" fontId="1" fillId="0" borderId="15" xfId="1" applyNumberFormat="1" applyFont="1" applyFill="1" applyBorder="1"/>
    <xf numFmtId="170" fontId="1" fillId="2" borderId="13" xfId="1" applyNumberFormat="1" applyFont="1" applyFill="1" applyBorder="1"/>
    <xf numFmtId="170" fontId="0" fillId="2" borderId="10" xfId="1" applyNumberFormat="1" applyFont="1" applyFill="1" applyBorder="1"/>
    <xf numFmtId="179" fontId="17" fillId="0" borderId="10" xfId="1" applyNumberFormat="1" applyFont="1" applyBorder="1"/>
    <xf numFmtId="179" fontId="0" fillId="0" borderId="0" xfId="1" applyNumberFormat="1" applyFont="1" applyBorder="1"/>
    <xf numFmtId="179" fontId="0" fillId="0" borderId="0" xfId="1" applyNumberFormat="1" applyFont="1" applyFill="1" applyBorder="1"/>
    <xf numFmtId="179" fontId="0" fillId="2" borderId="0" xfId="1" applyNumberFormat="1" applyFont="1" applyFill="1" applyBorder="1"/>
    <xf numFmtId="0" fontId="0" fillId="2" borderId="0" xfId="0" applyFill="1" applyAlignment="1">
      <alignment horizontal="center" wrapText="1"/>
    </xf>
    <xf numFmtId="170" fontId="0" fillId="0" borderId="0" xfId="1" applyNumberFormat="1" applyFont="1" applyFill="1"/>
    <xf numFmtId="169" fontId="0" fillId="0" borderId="6" xfId="1" applyNumberFormat="1" applyFont="1" applyFill="1" applyBorder="1" applyAlignment="1">
      <alignment horizontal="center" wrapText="1"/>
    </xf>
    <xf numFmtId="170" fontId="0" fillId="0" borderId="18" xfId="1" applyNumberFormat="1" applyFont="1" applyFill="1" applyBorder="1"/>
    <xf numFmtId="170" fontId="0" fillId="0" borderId="11" xfId="1" applyNumberFormat="1" applyFont="1" applyFill="1" applyBorder="1"/>
    <xf numFmtId="10" fontId="0" fillId="0" borderId="0" xfId="0" applyNumberFormat="1" applyAlignment="1">
      <alignment horizontal="center" wrapText="1"/>
    </xf>
    <xf numFmtId="0" fontId="0" fillId="7" borderId="0" xfId="0" applyFill="1"/>
    <xf numFmtId="169" fontId="2" fillId="7" borderId="0" xfId="1" applyNumberFormat="1" applyFont="1" applyFill="1" applyAlignment="1"/>
    <xf numFmtId="169" fontId="2" fillId="7" borderId="0" xfId="1" applyNumberFormat="1" applyFont="1" applyFill="1" applyAlignment="1">
      <alignment wrapText="1"/>
    </xf>
    <xf numFmtId="0" fontId="0" fillId="7" borderId="0" xfId="0" applyFill="1" applyAlignment="1">
      <alignment horizontal="center" wrapText="1"/>
    </xf>
    <xf numFmtId="0" fontId="2" fillId="7" borderId="0" xfId="0" applyFont="1" applyFill="1"/>
    <xf numFmtId="0" fontId="0" fillId="0" borderId="0" xfId="0" applyAlignment="1">
      <alignment wrapText="1"/>
    </xf>
    <xf numFmtId="168" fontId="15" fillId="0" borderId="0" xfId="1" applyNumberFormat="1" applyFont="1"/>
    <xf numFmtId="169" fontId="15" fillId="0" borderId="0" xfId="1" applyNumberFormat="1" applyFont="1" applyAlignment="1">
      <alignment horizontal="center"/>
    </xf>
    <xf numFmtId="175" fontId="2" fillId="0" borderId="0" xfId="1" applyNumberFormat="1" applyFont="1" applyAlignment="1">
      <alignment horizontal="left"/>
    </xf>
    <xf numFmtId="169" fontId="2" fillId="0" borderId="0" xfId="1" applyNumberFormat="1" applyFont="1" applyAlignment="1"/>
    <xf numFmtId="170" fontId="2" fillId="0" borderId="0" xfId="1" applyNumberFormat="1" applyFont="1" applyFill="1"/>
    <xf numFmtId="173" fontId="0" fillId="0" borderId="10" xfId="1" applyNumberFormat="1" applyFont="1" applyBorder="1"/>
    <xf numFmtId="173" fontId="0" fillId="2" borderId="10" xfId="1" applyNumberFormat="1" applyFont="1" applyFill="1" applyBorder="1"/>
    <xf numFmtId="170" fontId="0" fillId="0" borderId="10" xfId="3" applyNumberFormat="1" applyFont="1" applyBorder="1"/>
    <xf numFmtId="169" fontId="2" fillId="7" borderId="0" xfId="1" applyNumberFormat="1" applyFont="1" applyFill="1" applyAlignment="1">
      <alignment horizontal="left"/>
    </xf>
    <xf numFmtId="0" fontId="0" fillId="7" borderId="7" xfId="0" applyFill="1" applyBorder="1"/>
    <xf numFmtId="0" fontId="0" fillId="7" borderId="20" xfId="0" applyFill="1" applyBorder="1"/>
    <xf numFmtId="165" fontId="0" fillId="7" borderId="20" xfId="0" applyNumberFormat="1" applyFill="1" applyBorder="1"/>
    <xf numFmtId="10" fontId="0" fillId="7" borderId="21" xfId="3" applyNumberFormat="1" applyFont="1" applyFill="1" applyBorder="1"/>
    <xf numFmtId="0" fontId="0" fillId="7" borderId="12" xfId="0" applyFill="1" applyBorder="1"/>
    <xf numFmtId="165" fontId="16" fillId="7" borderId="0" xfId="2" applyFont="1" applyFill="1" applyBorder="1"/>
    <xf numFmtId="10" fontId="0" fillId="7" borderId="8" xfId="3" applyNumberFormat="1" applyFont="1" applyFill="1" applyBorder="1"/>
    <xf numFmtId="169" fontId="0" fillId="7" borderId="16" xfId="1" applyNumberFormat="1" applyFont="1" applyFill="1" applyBorder="1" applyAlignment="1">
      <alignment horizontal="left"/>
    </xf>
    <xf numFmtId="0" fontId="0" fillId="7" borderId="3" xfId="0" applyFill="1" applyBorder="1" applyAlignment="1">
      <alignment horizontal="center" wrapText="1"/>
    </xf>
    <xf numFmtId="0" fontId="0" fillId="7" borderId="3" xfId="0" applyFill="1" applyBorder="1"/>
    <xf numFmtId="10" fontId="0" fillId="7" borderId="17" xfId="3" applyNumberFormat="1" applyFont="1" applyFill="1" applyBorder="1"/>
    <xf numFmtId="165" fontId="15" fillId="7" borderId="0" xfId="0" applyNumberFormat="1" applyFont="1" applyFill="1" applyAlignment="1">
      <alignment horizontal="center" wrapText="1"/>
    </xf>
    <xf numFmtId="10" fontId="15" fillId="7" borderId="0" xfId="3" applyNumberFormat="1" applyFont="1" applyFill="1" applyAlignment="1">
      <alignment horizontal="right" wrapText="1"/>
    </xf>
    <xf numFmtId="0" fontId="0" fillId="0" borderId="32" xfId="0" applyBorder="1" applyAlignment="1">
      <alignment horizontal="center" wrapText="1"/>
    </xf>
    <xf numFmtId="166" fontId="0" fillId="0" borderId="33" xfId="1" applyFont="1" applyBorder="1" applyAlignment="1">
      <alignment wrapText="1"/>
    </xf>
    <xf numFmtId="180" fontId="0" fillId="0" borderId="33" xfId="0" applyNumberFormat="1" applyBorder="1" applyAlignment="1">
      <alignment wrapText="1"/>
    </xf>
    <xf numFmtId="165" fontId="2" fillId="0" borderId="33" xfId="2" applyFont="1" applyBorder="1" applyAlignment="1">
      <alignment wrapText="1"/>
    </xf>
    <xf numFmtId="165" fontId="2" fillId="0" borderId="35" xfId="2" applyFont="1" applyBorder="1" applyAlignment="1">
      <alignment wrapText="1"/>
    </xf>
    <xf numFmtId="165" fontId="2" fillId="7" borderId="3" xfId="0" applyNumberFormat="1" applyFont="1" applyFill="1" applyBorder="1"/>
    <xf numFmtId="170" fontId="0" fillId="2" borderId="10" xfId="3" applyNumberFormat="1" applyFont="1" applyFill="1" applyBorder="1"/>
    <xf numFmtId="173" fontId="0" fillId="0" borderId="10" xfId="1" applyNumberFormat="1" applyFont="1" applyFill="1" applyBorder="1"/>
    <xf numFmtId="170" fontId="0" fillId="0" borderId="10" xfId="3" applyNumberFormat="1" applyFont="1" applyFill="1" applyBorder="1"/>
    <xf numFmtId="10" fontId="9" fillId="0" borderId="0" xfId="0" applyNumberFormat="1" applyFont="1"/>
    <xf numFmtId="170" fontId="0" fillId="2" borderId="11" xfId="1" applyNumberFormat="1" applyFont="1" applyFill="1" applyBorder="1"/>
    <xf numFmtId="170" fontId="0" fillId="2" borderId="20" xfId="1" applyNumberFormat="1" applyFont="1" applyFill="1" applyBorder="1"/>
    <xf numFmtId="170" fontId="0" fillId="0" borderId="20" xfId="1" applyNumberFormat="1" applyFont="1" applyFill="1" applyBorder="1"/>
    <xf numFmtId="10" fontId="2" fillId="2" borderId="33" xfId="3" applyNumberFormat="1" applyFont="1" applyFill="1" applyBorder="1" applyAlignment="1">
      <alignment wrapText="1"/>
    </xf>
    <xf numFmtId="43" fontId="9" fillId="0" borderId="0" xfId="1" applyNumberFormat="1" applyFont="1"/>
    <xf numFmtId="181" fontId="2" fillId="0" borderId="0" xfId="1" applyNumberFormat="1" applyFont="1"/>
    <xf numFmtId="180" fontId="2" fillId="0" borderId="0" xfId="0" applyNumberFormat="1" applyFont="1"/>
    <xf numFmtId="9" fontId="9" fillId="0" borderId="0" xfId="0" applyNumberFormat="1" applyFont="1" applyAlignment="1">
      <alignment horizontal="center" wrapText="1"/>
    </xf>
    <xf numFmtId="166" fontId="9" fillId="0" borderId="33" xfId="1" applyFont="1" applyBorder="1" applyAlignment="1">
      <alignment wrapText="1"/>
    </xf>
    <xf numFmtId="166" fontId="9" fillId="0" borderId="35" xfId="1" applyFont="1" applyBorder="1" applyAlignment="1">
      <alignment wrapText="1"/>
    </xf>
    <xf numFmtId="165" fontId="9" fillId="0" borderId="33" xfId="2" applyFont="1" applyBorder="1" applyAlignment="1">
      <alignment wrapText="1"/>
    </xf>
    <xf numFmtId="165" fontId="2" fillId="2" borderId="33" xfId="2" applyFont="1" applyFill="1" applyBorder="1" applyAlignment="1">
      <alignment wrapText="1"/>
    </xf>
    <xf numFmtId="0" fontId="2" fillId="8" borderId="0" xfId="0" applyFont="1" applyFill="1" applyAlignment="1">
      <alignment horizontal="center" wrapText="1"/>
    </xf>
    <xf numFmtId="166" fontId="2" fillId="8" borderId="0" xfId="1" applyFont="1" applyFill="1" applyAlignment="1">
      <alignment horizontal="center" wrapText="1"/>
    </xf>
    <xf numFmtId="165" fontId="2" fillId="9" borderId="33" xfId="2" applyFont="1" applyFill="1" applyBorder="1" applyAlignment="1">
      <alignment wrapText="1"/>
    </xf>
    <xf numFmtId="165" fontId="2" fillId="10" borderId="33" xfId="2" applyFont="1" applyFill="1" applyBorder="1" applyAlignment="1">
      <alignment wrapText="1"/>
    </xf>
    <xf numFmtId="10" fontId="2" fillId="9" borderId="33" xfId="3" applyNumberFormat="1" applyFont="1" applyFill="1" applyBorder="1" applyAlignment="1">
      <alignment wrapText="1"/>
    </xf>
    <xf numFmtId="10" fontId="2" fillId="10" borderId="34" xfId="3" applyNumberFormat="1" applyFont="1" applyFill="1" applyBorder="1"/>
    <xf numFmtId="0" fontId="0" fillId="10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9" borderId="0" xfId="0" applyFill="1" applyAlignment="1">
      <alignment wrapText="1"/>
    </xf>
    <xf numFmtId="165" fontId="17" fillId="0" borderId="0" xfId="2" applyFont="1" applyAlignment="1">
      <alignment wrapText="1"/>
    </xf>
    <xf numFmtId="0" fontId="0" fillId="10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10" borderId="32" xfId="0" applyFill="1" applyBorder="1" applyAlignment="1">
      <alignment horizontal="center" vertical="top" wrapText="1"/>
    </xf>
    <xf numFmtId="0" fontId="0" fillId="9" borderId="32" xfId="0" applyFill="1" applyBorder="1" applyAlignment="1">
      <alignment horizontal="center" vertical="top" wrapText="1"/>
    </xf>
    <xf numFmtId="0" fontId="0" fillId="2" borderId="32" xfId="0" applyFill="1" applyBorder="1" applyAlignment="1">
      <alignment horizontal="center" vertical="top" wrapText="1"/>
    </xf>
    <xf numFmtId="0" fontId="20" fillId="10" borderId="32" xfId="0" applyFont="1" applyFill="1" applyBorder="1" applyAlignment="1">
      <alignment horizontal="center" vertical="top" wrapText="1"/>
    </xf>
    <xf numFmtId="0" fontId="20" fillId="0" borderId="32" xfId="0" applyFont="1" applyBorder="1" applyAlignment="1">
      <alignment horizontal="center" vertical="top" wrapText="1"/>
    </xf>
    <xf numFmtId="169" fontId="2" fillId="0" borderId="0" xfId="1" applyNumberFormat="1" applyFont="1" applyAlignment="1">
      <alignment horizontal="left"/>
    </xf>
    <xf numFmtId="169" fontId="2" fillId="0" borderId="3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9" fontId="2" fillId="0" borderId="0" xfId="1" applyNumberFormat="1" applyFont="1" applyAlignment="1">
      <alignment horizontal="left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</cellXfs>
  <cellStyles count="9">
    <cellStyle name="Millares" xfId="1" builtinId="3"/>
    <cellStyle name="Millares 2" xfId="5" xr:uid="{00000000-0005-0000-0000-000001000000}"/>
    <cellStyle name="Moneda" xfId="2" builtinId="4"/>
    <cellStyle name="Normal" xfId="0" builtinId="0"/>
    <cellStyle name="Normal 2" xfId="7" xr:uid="{00000000-0005-0000-0000-000004000000}"/>
    <cellStyle name="Normal 3" xfId="4" xr:uid="{00000000-0005-0000-0000-000005000000}"/>
    <cellStyle name="Porcentaje" xfId="3" builtinId="5"/>
    <cellStyle name="Porcentaje 2" xfId="6" xr:uid="{00000000-0005-0000-0000-000007000000}"/>
    <cellStyle name="Porcentual 2" xfId="8" xr:uid="{00000000-0005-0000-0000-00000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15</xdr:row>
      <xdr:rowOff>60960</xdr:rowOff>
    </xdr:from>
    <xdr:to>
      <xdr:col>2</xdr:col>
      <xdr:colOff>655320</xdr:colOff>
      <xdr:row>17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171388-6A61-1694-7384-7ACB4678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66260"/>
          <a:ext cx="241554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78"/>
  <sheetViews>
    <sheetView topLeftCell="E1" workbookViewId="0">
      <selection activeCell="K7" sqref="K7"/>
    </sheetView>
  </sheetViews>
  <sheetFormatPr baseColWidth="10" defaultColWidth="11.5" defaultRowHeight="14.25"/>
  <cols>
    <col min="1" max="1" width="40.125" bestFit="1" customWidth="1"/>
    <col min="2" max="2" width="13.125" style="20" bestFit="1" customWidth="1"/>
    <col min="3" max="3" width="7.5" style="20" customWidth="1"/>
    <col min="4" max="4" width="10.375" style="20" customWidth="1"/>
    <col min="5" max="5" width="10.125" style="22" bestFit="1" customWidth="1"/>
    <col min="6" max="6" width="11.375" style="22" customWidth="1"/>
    <col min="7" max="7" width="11.5" style="22"/>
    <col min="8" max="8" width="3.375" customWidth="1"/>
    <col min="9" max="9" width="8.5" bestFit="1" customWidth="1"/>
    <col min="10" max="10" width="9" bestFit="1" customWidth="1"/>
    <col min="11" max="11" width="10.625" customWidth="1"/>
    <col min="12" max="12" width="8.625" bestFit="1" customWidth="1"/>
    <col min="13" max="13" width="8.625" customWidth="1"/>
    <col min="14" max="14" width="12.125" bestFit="1" customWidth="1"/>
    <col min="15" max="15" width="8.625" bestFit="1" customWidth="1"/>
    <col min="16" max="16" width="11.125" bestFit="1" customWidth="1"/>
    <col min="17" max="17" width="8.625" bestFit="1" customWidth="1"/>
    <col min="18" max="18" width="3.5" customWidth="1"/>
    <col min="19" max="19" width="8.5" bestFit="1" customWidth="1"/>
    <col min="20" max="20" width="9" bestFit="1" customWidth="1"/>
    <col min="21" max="21" width="10.625" customWidth="1"/>
    <col min="22" max="22" width="10.125" bestFit="1" customWidth="1"/>
    <col min="23" max="23" width="10.625" bestFit="1" customWidth="1"/>
    <col min="24" max="24" width="12.125" bestFit="1" customWidth="1"/>
    <col min="25" max="25" width="10.625" bestFit="1" customWidth="1"/>
    <col min="26" max="27" width="10.125" bestFit="1" customWidth="1"/>
    <col min="28" max="28" width="5.125" customWidth="1"/>
    <col min="32" max="32" width="10.625" customWidth="1"/>
    <col min="33" max="33" width="3.5" customWidth="1"/>
    <col min="35" max="35" width="10.5" bestFit="1" customWidth="1"/>
  </cols>
  <sheetData>
    <row r="1" spans="1:27" ht="23.25">
      <c r="A1" s="19" t="s">
        <v>29</v>
      </c>
      <c r="D1"/>
      <c r="E1" s="21"/>
      <c r="F1" s="21"/>
      <c r="G1" s="21"/>
      <c r="AA1" s="13"/>
    </row>
    <row r="2" spans="1:27" ht="15">
      <c r="A2" t="s">
        <v>77</v>
      </c>
      <c r="B2" s="26">
        <v>1</v>
      </c>
      <c r="C2" s="20" t="s">
        <v>78</v>
      </c>
      <c r="D2"/>
      <c r="E2" s="21"/>
      <c r="F2" s="21"/>
      <c r="G2" s="21"/>
      <c r="AA2" s="13"/>
    </row>
    <row r="3" spans="1:27" ht="15">
      <c r="A3" t="s">
        <v>30</v>
      </c>
      <c r="B3" s="25" t="s">
        <v>0</v>
      </c>
      <c r="D3"/>
      <c r="E3" s="24"/>
      <c r="F3" s="24"/>
      <c r="AA3" s="13"/>
    </row>
    <row r="4" spans="1:27" ht="15">
      <c r="A4" s="111" t="s">
        <v>93</v>
      </c>
      <c r="B4" s="112">
        <v>22564</v>
      </c>
      <c r="D4"/>
      <c r="E4" s="24"/>
      <c r="F4" s="24"/>
      <c r="AA4" s="13"/>
    </row>
    <row r="5" spans="1:27" ht="15">
      <c r="A5" s="111" t="s">
        <v>94</v>
      </c>
      <c r="B5" s="112">
        <v>29860</v>
      </c>
      <c r="D5"/>
      <c r="E5" s="24"/>
      <c r="F5" s="24"/>
      <c r="AA5" s="13"/>
    </row>
    <row r="6" spans="1:27" ht="15">
      <c r="A6" t="s">
        <v>31</v>
      </c>
      <c r="B6" s="26">
        <f>+DATEDIF(B4,B5,"Y")</f>
        <v>19</v>
      </c>
      <c r="D6"/>
      <c r="E6" s="24"/>
      <c r="F6" s="24"/>
      <c r="AA6" s="13"/>
    </row>
    <row r="7" spans="1:27" ht="15">
      <c r="A7" t="s">
        <v>67</v>
      </c>
      <c r="B7" s="26">
        <f>2024-YEAR(B4)</f>
        <v>63</v>
      </c>
      <c r="D7"/>
      <c r="E7" s="24"/>
      <c r="F7" s="24"/>
      <c r="AA7" s="13"/>
    </row>
    <row r="8" spans="1:27" ht="15">
      <c r="A8" s="20" t="s">
        <v>54</v>
      </c>
      <c r="B8" s="23">
        <v>65</v>
      </c>
      <c r="D8"/>
      <c r="E8" s="24"/>
      <c r="F8" s="24"/>
      <c r="AA8" s="13"/>
    </row>
    <row r="9" spans="1:27" ht="15">
      <c r="A9" t="s">
        <v>68</v>
      </c>
      <c r="B9" s="27"/>
      <c r="AA9" s="13"/>
    </row>
    <row r="10" spans="1:27" ht="15">
      <c r="A10" t="s">
        <v>32</v>
      </c>
      <c r="B10" s="28">
        <v>1.4999999999999999E-2</v>
      </c>
      <c r="AA10" s="13"/>
    </row>
    <row r="11" spans="1:27" ht="15">
      <c r="A11" t="s">
        <v>61</v>
      </c>
      <c r="B11" s="28">
        <v>0.15</v>
      </c>
      <c r="D11"/>
      <c r="E11" s="24"/>
      <c r="F11" s="24"/>
      <c r="I11" s="29" t="s">
        <v>33</v>
      </c>
      <c r="J11" s="22"/>
      <c r="K11" s="22"/>
      <c r="S11" s="29" t="s">
        <v>34</v>
      </c>
      <c r="T11" s="22"/>
      <c r="U11" s="22"/>
      <c r="AA11" s="13"/>
    </row>
    <row r="12" spans="1:27" ht="15">
      <c r="A12" t="s">
        <v>60</v>
      </c>
      <c r="B12" s="28">
        <v>0.15</v>
      </c>
      <c r="D12"/>
      <c r="E12" s="24"/>
      <c r="F12" s="24"/>
      <c r="I12" t="s">
        <v>43</v>
      </c>
      <c r="N12" s="40">
        <f>+SUM(AE29:AE77)</f>
        <v>541</v>
      </c>
      <c r="S12" s="30" t="s">
        <v>35</v>
      </c>
      <c r="T12" s="22"/>
      <c r="X12" s="60">
        <f>+B8</f>
        <v>65</v>
      </c>
      <c r="AA12" s="13"/>
    </row>
    <row r="13" spans="1:27" ht="15">
      <c r="A13" t="s">
        <v>62</v>
      </c>
      <c r="B13" s="28">
        <v>0.15</v>
      </c>
      <c r="D13"/>
      <c r="E13" s="24"/>
      <c r="F13" s="24"/>
      <c r="I13" t="s">
        <v>82</v>
      </c>
      <c r="N13" s="40">
        <f>+N12-B16</f>
        <v>301</v>
      </c>
      <c r="S13" s="30" t="s">
        <v>73</v>
      </c>
      <c r="T13" s="22"/>
      <c r="X13" s="31">
        <f>+VLOOKUP(X12,$J$29:$Q$77,8,FALSE)</f>
        <v>217009.70064524002</v>
      </c>
      <c r="AA13" s="31"/>
    </row>
    <row r="14" spans="1:27" ht="15">
      <c r="A14" t="s">
        <v>55</v>
      </c>
      <c r="B14" s="28">
        <v>0.04</v>
      </c>
      <c r="D14"/>
      <c r="E14" s="24"/>
      <c r="F14" s="24"/>
      <c r="I14" t="s">
        <v>83</v>
      </c>
      <c r="L14" s="22"/>
      <c r="M14" s="22"/>
      <c r="N14" s="77">
        <f>+$B$17+INT(N13/12)*$B$18</f>
        <v>0.91249999999999998</v>
      </c>
      <c r="S14" t="s">
        <v>72</v>
      </c>
      <c r="X14" s="15">
        <f>+IF($B$3="M",VLOOKUP(X12,descuento!$A$6:$B$32,2,FALSE),VLOOKUP(X12,descuento!$C$6:$D$32,2,FALSE))</f>
        <v>1</v>
      </c>
    </row>
    <row r="15" spans="1:27" ht="15">
      <c r="A15" t="s">
        <v>56</v>
      </c>
      <c r="B15" s="28">
        <v>0.05</v>
      </c>
      <c r="D15"/>
      <c r="E15" s="24"/>
      <c r="F15" s="24"/>
      <c r="I15" s="20" t="s">
        <v>90</v>
      </c>
      <c r="J15" s="22"/>
      <c r="K15" s="22"/>
      <c r="N15" s="78">
        <f ca="1">+VLOOKUP(N17,W20:X22,2,0)</f>
        <v>30657.333333333332</v>
      </c>
      <c r="S15" s="30" t="s">
        <v>74</v>
      </c>
      <c r="X15" s="13">
        <f>+VLOOKUP(X12,$T$29:$AA$77,8,FALSE)</f>
        <v>11502.344999999999</v>
      </c>
    </row>
    <row r="16" spans="1:27" ht="15">
      <c r="A16" t="s">
        <v>57</v>
      </c>
      <c r="B16" s="23">
        <v>240</v>
      </c>
      <c r="D16"/>
      <c r="E16" s="24"/>
      <c r="F16" s="24"/>
      <c r="I16" s="20" t="s">
        <v>84</v>
      </c>
      <c r="J16" s="22"/>
      <c r="K16" s="22"/>
      <c r="N16" s="32">
        <f ca="1">+N17*12</f>
        <v>24000</v>
      </c>
      <c r="S16" s="30" t="s">
        <v>75</v>
      </c>
      <c r="X16" s="14">
        <f>+X15+X13*X14</f>
        <v>228512.04564524002</v>
      </c>
    </row>
    <row r="17" spans="1:39" ht="15">
      <c r="A17" t="s">
        <v>58</v>
      </c>
      <c r="B17" s="33">
        <v>0.6</v>
      </c>
      <c r="D17"/>
      <c r="E17" s="24"/>
      <c r="F17" s="24"/>
      <c r="I17" s="20" t="s">
        <v>85</v>
      </c>
      <c r="J17" s="22"/>
      <c r="K17" s="22"/>
      <c r="L17" s="34"/>
      <c r="M17" s="34"/>
      <c r="N17" s="86">
        <f ca="1">+MAX(W20:W22)</f>
        <v>2000</v>
      </c>
      <c r="S17" s="30" t="s">
        <v>36</v>
      </c>
      <c r="T17" s="22"/>
      <c r="U17" s="34"/>
      <c r="X17" s="36">
        <f>+VLOOKUP(X12,'bases renta'!$K$20:$L$65,2,FALSE)</f>
        <v>5.4399910582980162</v>
      </c>
    </row>
    <row r="18" spans="1:39" ht="15">
      <c r="A18" t="s">
        <v>59</v>
      </c>
      <c r="B18" s="28">
        <v>1.2500000000000001E-2</v>
      </c>
      <c r="D18"/>
      <c r="E18" s="24"/>
      <c r="F18" s="24"/>
      <c r="I18" s="22" t="s">
        <v>83</v>
      </c>
      <c r="N18" s="77">
        <f ca="1">+N16/N15</f>
        <v>0.78284695342060628</v>
      </c>
      <c r="S18" s="30" t="s">
        <v>37</v>
      </c>
      <c r="X18" s="85">
        <f>+X17*X16*0.001</f>
        <v>1243.1034850234939</v>
      </c>
    </row>
    <row r="19" spans="1:39" ht="15">
      <c r="A19" t="s">
        <v>79</v>
      </c>
      <c r="B19" s="73">
        <v>2500</v>
      </c>
      <c r="D19"/>
      <c r="E19" s="24"/>
      <c r="F19" s="24"/>
      <c r="I19" s="29"/>
      <c r="J19" s="22"/>
      <c r="K19" s="22"/>
      <c r="L19" s="22"/>
      <c r="M19" s="22"/>
      <c r="P19" s="38"/>
      <c r="S19" s="30" t="s">
        <v>86</v>
      </c>
      <c r="X19" s="32">
        <f>+X18*12</f>
        <v>14917.241820281928</v>
      </c>
    </row>
    <row r="20" spans="1:39" ht="15">
      <c r="A20" t="s">
        <v>89</v>
      </c>
      <c r="B20" s="26">
        <v>2500</v>
      </c>
      <c r="S20" s="30" t="s">
        <v>95</v>
      </c>
      <c r="T20" s="13"/>
      <c r="V20" s="34"/>
      <c r="W20" s="138">
        <f ca="1">+IF($N$14*X20/12&gt;1500,1500,$N$14*X20/12)</f>
        <v>1500</v>
      </c>
      <c r="X20" s="32">
        <f t="array" aca="1" ref="X20" ca="1">+AVERAGE(LARGE($AF$29:$AF$77,ROW(INDIRECT("1:10"))))</f>
        <v>31481.200000000001</v>
      </c>
      <c r="Z20" s="38"/>
      <c r="AA20" s="38"/>
    </row>
    <row r="21" spans="1:39" ht="15">
      <c r="S21" s="30" t="s">
        <v>96</v>
      </c>
      <c r="W21" s="138">
        <f ca="1">+IF($N$14*X21/12&gt;2000,2000,$N$14*X21/12)</f>
        <v>2000</v>
      </c>
      <c r="X21" s="32">
        <f t="array" aca="1" ref="X21" ca="1">IF(AND(N12&gt;300,AVERAGE(LARGE($AF$29:$AF$77,ROW(INDIRECT("1:15"))))&gt;=24000),AVERAGE(LARGE($AF$29:$AF$77,ROW(INDIRECT("1:15")))),0)</f>
        <v>30657.333333333332</v>
      </c>
      <c r="Z21" s="38"/>
    </row>
    <row r="22" spans="1:39" s="34" customFormat="1" ht="15">
      <c r="I22" s="20"/>
      <c r="J22" s="22"/>
      <c r="K22" s="22"/>
      <c r="L22"/>
      <c r="M22"/>
      <c r="N22" s="16"/>
      <c r="O22"/>
      <c r="P22" s="16"/>
      <c r="S22" s="30" t="s">
        <v>97</v>
      </c>
      <c r="W22" s="138">
        <f ca="1">+IF($N$14*X22/12&gt;2500,2500,$N$14*X22/12)</f>
        <v>0</v>
      </c>
      <c r="X22" s="32">
        <f t="array" aca="1" ref="X22" ca="1">IF(AND(N12&gt;360,AVERAGE(LARGE($AF$29:$AF$77,ROW(INDIRECT("1:20"))))&gt;=30000),AVERAGE(LARGE($AF$29:$AF$77,ROW(INDIRECT("1:20")))),0)</f>
        <v>0</v>
      </c>
      <c r="Z22" s="16"/>
    </row>
    <row r="23" spans="1:39" ht="15" customHeight="1">
      <c r="B23" s="23"/>
      <c r="D23" s="29"/>
      <c r="E23" s="37"/>
      <c r="F23" s="37"/>
      <c r="G23" s="32"/>
      <c r="I23" s="20"/>
      <c r="J23" s="22"/>
      <c r="K23" s="22"/>
      <c r="N23" s="32"/>
      <c r="P23" s="16"/>
      <c r="Z23" s="16"/>
    </row>
    <row r="24" spans="1:39" ht="15">
      <c r="A24" s="39"/>
      <c r="B24" s="61"/>
      <c r="C24" s="34"/>
      <c r="D24" s="263"/>
      <c r="E24" s="263"/>
      <c r="F24" s="65"/>
      <c r="G24" s="32"/>
      <c r="I24" s="20"/>
      <c r="J24" s="22"/>
      <c r="K24" s="22"/>
      <c r="L24" s="34"/>
      <c r="M24" s="34"/>
      <c r="N24" s="35"/>
      <c r="S24" s="30" t="s">
        <v>81</v>
      </c>
      <c r="X24" s="62">
        <f ca="1">+X19/VLOOKUP(N17,W20:X22,2,0)</f>
        <v>0.48657988801859031</v>
      </c>
    </row>
    <row r="25" spans="1:39" ht="15">
      <c r="B25" s="33"/>
      <c r="G25" s="37"/>
    </row>
    <row r="26" spans="1:39" ht="15.75" thickBot="1">
      <c r="B26" s="264"/>
      <c r="C26" s="264"/>
      <c r="D26" s="264"/>
      <c r="E26" s="264"/>
      <c r="F26" s="264"/>
      <c r="G26" s="264"/>
      <c r="I26" s="265" t="s">
        <v>66</v>
      </c>
      <c r="J26" s="265"/>
      <c r="K26" s="265"/>
      <c r="L26" s="265"/>
      <c r="M26" s="265"/>
      <c r="N26" s="265"/>
      <c r="O26" s="265"/>
      <c r="P26" s="265"/>
      <c r="Q26" s="265"/>
      <c r="S26" s="265" t="s">
        <v>70</v>
      </c>
      <c r="T26" s="265"/>
      <c r="U26" s="265"/>
      <c r="V26" s="265"/>
      <c r="W26" s="265"/>
      <c r="X26" s="265"/>
      <c r="Y26" s="265"/>
      <c r="Z26" s="265"/>
      <c r="AA26" s="265"/>
      <c r="AB26" s="72"/>
      <c r="AC26" t="s">
        <v>87</v>
      </c>
      <c r="AF26" s="72"/>
      <c r="AH26" t="s">
        <v>88</v>
      </c>
    </row>
    <row r="27" spans="1:39" ht="115.5" thickTop="1" thickBot="1">
      <c r="B27" s="44" t="s">
        <v>38</v>
      </c>
      <c r="C27" s="41" t="s">
        <v>63</v>
      </c>
      <c r="D27" s="41" t="s">
        <v>40</v>
      </c>
      <c r="E27" s="42" t="s">
        <v>41</v>
      </c>
      <c r="F27" s="41" t="s">
        <v>43</v>
      </c>
      <c r="G27" s="66" t="s">
        <v>42</v>
      </c>
      <c r="H27" s="34"/>
      <c r="I27" s="44" t="s">
        <v>38</v>
      </c>
      <c r="J27" s="41" t="s">
        <v>39</v>
      </c>
      <c r="K27" s="41" t="s">
        <v>69</v>
      </c>
      <c r="L27" s="41" t="s">
        <v>64</v>
      </c>
      <c r="M27" s="41" t="s">
        <v>71</v>
      </c>
      <c r="N27" s="41" t="s">
        <v>91</v>
      </c>
      <c r="O27" s="42" t="s">
        <v>44</v>
      </c>
      <c r="P27" s="42" t="s">
        <v>45</v>
      </c>
      <c r="Q27" s="43" t="s">
        <v>92</v>
      </c>
      <c r="S27" s="44" t="s">
        <v>38</v>
      </c>
      <c r="T27" s="41" t="s">
        <v>39</v>
      </c>
      <c r="U27" s="41" t="s">
        <v>69</v>
      </c>
      <c r="V27" s="41" t="s">
        <v>64</v>
      </c>
      <c r="W27" s="41" t="s">
        <v>65</v>
      </c>
      <c r="X27" s="41" t="s">
        <v>91</v>
      </c>
      <c r="Y27" s="42" t="s">
        <v>44</v>
      </c>
      <c r="Z27" s="42" t="s">
        <v>45</v>
      </c>
      <c r="AA27" s="43" t="s">
        <v>92</v>
      </c>
      <c r="AB27" s="34"/>
      <c r="AC27" s="44" t="s">
        <v>38</v>
      </c>
      <c r="AD27" s="42" t="s">
        <v>80</v>
      </c>
      <c r="AE27" s="42" t="s">
        <v>43</v>
      </c>
      <c r="AF27" s="43" t="s">
        <v>76</v>
      </c>
      <c r="AH27" s="44" t="s">
        <v>38</v>
      </c>
      <c r="AI27" s="41" t="s">
        <v>39</v>
      </c>
      <c r="AJ27" s="41" t="s">
        <v>91</v>
      </c>
      <c r="AK27" s="41" t="s">
        <v>47</v>
      </c>
      <c r="AL27" s="42" t="s">
        <v>46</v>
      </c>
      <c r="AM27" s="45" t="s">
        <v>92</v>
      </c>
    </row>
    <row r="28" spans="1:39" ht="15.75" thickTop="1" thickBot="1">
      <c r="B28" s="46"/>
      <c r="G28" s="87"/>
      <c r="I28" s="46"/>
      <c r="J28" s="20"/>
      <c r="K28" s="20"/>
      <c r="L28" s="20"/>
      <c r="M28" s="20"/>
      <c r="N28" s="20"/>
      <c r="O28" s="22"/>
      <c r="P28" s="22"/>
      <c r="S28" s="46"/>
      <c r="T28" s="20"/>
      <c r="U28" s="20"/>
      <c r="V28" s="20"/>
      <c r="W28" s="20"/>
      <c r="X28" s="20"/>
      <c r="Y28" s="22"/>
      <c r="Z28" s="22"/>
      <c r="AC28" s="46"/>
      <c r="AD28" s="46"/>
      <c r="AE28" s="46"/>
      <c r="AF28" s="20"/>
      <c r="AH28" s="46"/>
      <c r="AM28" s="47">
        <f>+X16</f>
        <v>228512.04564524002</v>
      </c>
    </row>
    <row r="29" spans="1:39" ht="16.5" thickTop="1" thickBot="1">
      <c r="A29" s="14"/>
      <c r="B29" s="130">
        <f>+YEAR(B5)</f>
        <v>1981</v>
      </c>
      <c r="C29" s="92">
        <f>+B6</f>
        <v>19</v>
      </c>
      <c r="D29" s="93">
        <v>1</v>
      </c>
      <c r="E29" s="94">
        <f>+IFERROR(G29/F29,0)</f>
        <v>140</v>
      </c>
      <c r="F29" s="95">
        <v>3</v>
      </c>
      <c r="G29" s="96">
        <v>420</v>
      </c>
      <c r="I29" s="91">
        <f t="shared" ref="I29:I77" si="0">+B29</f>
        <v>1981</v>
      </c>
      <c r="J29" s="92">
        <f>+C29+1</f>
        <v>20</v>
      </c>
      <c r="K29" s="92">
        <f>+IF(C29&lt;$B$7,1,0)</f>
        <v>1</v>
      </c>
      <c r="L29" s="104">
        <f>B11</f>
        <v>0.15</v>
      </c>
      <c r="M29" s="105">
        <f>+IF($B$2=1,IF(G29&lt;=2500*12,G29,2500*12),G29)</f>
        <v>420</v>
      </c>
      <c r="N29" s="92">
        <f>+Q28</f>
        <v>0</v>
      </c>
      <c r="O29" s="92">
        <f>+L29*M29*$K29</f>
        <v>63</v>
      </c>
      <c r="P29" s="92">
        <f>+N29*$B$14</f>
        <v>0</v>
      </c>
      <c r="Q29" s="106">
        <f>+(N29+O29+P29)</f>
        <v>63</v>
      </c>
      <c r="S29" s="57">
        <f>+I29</f>
        <v>1981</v>
      </c>
      <c r="T29" s="48">
        <f>+J29</f>
        <v>20</v>
      </c>
      <c r="U29" s="48">
        <f>+IF($C29&gt;=$B$7,1,0)</f>
        <v>0</v>
      </c>
      <c r="V29" s="50">
        <f>+$B$12*U29</f>
        <v>0</v>
      </c>
      <c r="W29" s="50">
        <f>+U29*$B$13</f>
        <v>0</v>
      </c>
      <c r="X29" s="48">
        <f>+AA28</f>
        <v>0</v>
      </c>
      <c r="Y29" s="48">
        <f>+(G29*V29)*U29</f>
        <v>0</v>
      </c>
      <c r="Z29" s="48">
        <f>+X29*$B$15*U29</f>
        <v>0</v>
      </c>
      <c r="AA29" s="49">
        <f>+(X29+Y29+Z29)</f>
        <v>0</v>
      </c>
      <c r="AB29" s="52"/>
      <c r="AC29" s="57">
        <f>+B29</f>
        <v>1981</v>
      </c>
      <c r="AD29" s="75">
        <f>+C29</f>
        <v>19</v>
      </c>
      <c r="AE29" s="75">
        <f t="shared" ref="AE29:AE77" si="1">+IF(T29&lt;=$X$12,1,0)*F29</f>
        <v>3</v>
      </c>
      <c r="AF29" s="49">
        <f t="shared" ref="AF29:AF77" si="2">+IF(T29&gt;$X$12,0,IF($B$2=1,IF($AD29&lt;$B$7,IF(G29&lt;=$B$19*12,G29,$B$19*12),G29),G29))</f>
        <v>420</v>
      </c>
      <c r="AH29" s="57">
        <v>1</v>
      </c>
      <c r="AI29" s="81">
        <f>+X12</f>
        <v>65</v>
      </c>
      <c r="AJ29" s="82">
        <f>+AM28</f>
        <v>228512.04564524002</v>
      </c>
      <c r="AK29" s="83">
        <f>+X19</f>
        <v>14917.241820281928</v>
      </c>
      <c r="AL29" s="132">
        <f>+(AJ29-AK29)*$B$15</f>
        <v>10679.740191247905</v>
      </c>
      <c r="AM29" s="133">
        <f>+AJ29-AK29+AL29</f>
        <v>224274.544016206</v>
      </c>
    </row>
    <row r="30" spans="1:39" ht="15.75" thickBot="1">
      <c r="A30" s="14"/>
      <c r="B30" s="97">
        <f t="shared" ref="B30:C45" si="3">+B29+1</f>
        <v>1982</v>
      </c>
      <c r="C30" s="88">
        <f t="shared" si="3"/>
        <v>20</v>
      </c>
      <c r="D30" s="89">
        <f t="shared" ref="D30:D77" si="4">+D29*(1+$B$10)</f>
        <v>1.0149999999999999</v>
      </c>
      <c r="E30" s="90">
        <f t="shared" ref="E30:E53" si="5">+IFERROR(G30/F30,0)</f>
        <v>164.5</v>
      </c>
      <c r="F30" s="84">
        <v>10</v>
      </c>
      <c r="G30" s="98">
        <v>1645</v>
      </c>
      <c r="I30" s="97">
        <f t="shared" si="0"/>
        <v>1982</v>
      </c>
      <c r="J30" s="88">
        <f t="shared" ref="J30:J77" si="6">+C30+1</f>
        <v>21</v>
      </c>
      <c r="K30" s="88">
        <f t="shared" ref="K30:K77" si="7">+IF(C30&lt;$B$7,1,0)</f>
        <v>1</v>
      </c>
      <c r="L30" s="107">
        <f>+L29</f>
        <v>0.15</v>
      </c>
      <c r="M30" s="108">
        <f t="shared" ref="M30:M77" si="8">+IF($B$2=1,IF(G30&lt;=2500*12,G30,2500*12),G30)</f>
        <v>1645</v>
      </c>
      <c r="N30" s="88">
        <f t="shared" ref="N30:N77" si="9">+Q29</f>
        <v>63</v>
      </c>
      <c r="O30" s="88">
        <f t="shared" ref="O30:O77" si="10">+L30*M30*$K30</f>
        <v>246.75</v>
      </c>
      <c r="P30" s="88">
        <f t="shared" ref="P30:P77" si="11">+N30*$B$14</f>
        <v>2.52</v>
      </c>
      <c r="Q30" s="99">
        <f t="shared" ref="Q30:Q77" si="12">+(N30+O30+P30)</f>
        <v>312.27</v>
      </c>
      <c r="S30" s="58">
        <f t="shared" ref="S30:T77" si="13">+I30</f>
        <v>1982</v>
      </c>
      <c r="T30" s="52">
        <f t="shared" si="13"/>
        <v>21</v>
      </c>
      <c r="U30" s="52">
        <f t="shared" ref="U30:U77" si="14">+IF($C30&gt;=$B$7,1,0)</f>
        <v>0</v>
      </c>
      <c r="V30" s="54">
        <f t="shared" ref="V30:V77" si="15">+$B$12*U30</f>
        <v>0</v>
      </c>
      <c r="W30" s="54">
        <f t="shared" ref="W30:W77" si="16">+U30*$B$13</f>
        <v>0</v>
      </c>
      <c r="X30" s="52">
        <f t="shared" ref="X30:X77" si="17">+AA29</f>
        <v>0</v>
      </c>
      <c r="Y30" s="48">
        <f t="shared" ref="Y30:Y77" si="18">+(G30*V30)*U30</f>
        <v>0</v>
      </c>
      <c r="Z30" s="52">
        <f t="shared" ref="Z30:Z77" si="19">+X30*$B$15*U30</f>
        <v>0</v>
      </c>
      <c r="AA30" s="53">
        <f t="shared" ref="AA30:AA77" si="20">+(X30+Y30+Z30)</f>
        <v>0</v>
      </c>
      <c r="AB30" s="52"/>
      <c r="AC30" s="58">
        <f t="shared" ref="AC30:AC77" si="21">+AC29+1</f>
        <v>1982</v>
      </c>
      <c r="AD30" s="74">
        <f t="shared" ref="AD30:AD77" si="22">+C30</f>
        <v>20</v>
      </c>
      <c r="AE30" s="74">
        <f t="shared" si="1"/>
        <v>10</v>
      </c>
      <c r="AF30" s="53">
        <f t="shared" si="2"/>
        <v>1645</v>
      </c>
      <c r="AH30" s="58">
        <f>+AH29+1</f>
        <v>2</v>
      </c>
      <c r="AI30" s="17">
        <f>+AI29+1</f>
        <v>66</v>
      </c>
      <c r="AJ30" s="40">
        <f t="shared" ref="AJ30:AJ77" si="23">+AM29</f>
        <v>224274.544016206</v>
      </c>
      <c r="AK30" s="51">
        <f>+AK29</f>
        <v>14917.241820281928</v>
      </c>
      <c r="AL30" s="134">
        <f t="shared" ref="AL30:AL77" si="24">+(AJ30-AK30)*$B$15</f>
        <v>10467.865109796205</v>
      </c>
      <c r="AM30" s="135">
        <f t="shared" ref="AM30:AM77" si="25">+AJ30-AK30+AL30</f>
        <v>219825.16730572027</v>
      </c>
    </row>
    <row r="31" spans="1:39" ht="15.75" thickBot="1">
      <c r="A31" s="14"/>
      <c r="B31" s="97">
        <f t="shared" si="3"/>
        <v>1983</v>
      </c>
      <c r="C31" s="88">
        <f t="shared" si="3"/>
        <v>21</v>
      </c>
      <c r="D31" s="89">
        <f t="shared" si="4"/>
        <v>1.0302249999999997</v>
      </c>
      <c r="E31" s="90">
        <f t="shared" si="5"/>
        <v>194.16666666666666</v>
      </c>
      <c r="F31" s="84">
        <v>12</v>
      </c>
      <c r="G31" s="98">
        <v>2330</v>
      </c>
      <c r="I31" s="97">
        <f t="shared" si="0"/>
        <v>1983</v>
      </c>
      <c r="J31" s="88">
        <f t="shared" si="6"/>
        <v>22</v>
      </c>
      <c r="K31" s="88">
        <f t="shared" si="7"/>
        <v>1</v>
      </c>
      <c r="L31" s="107">
        <f t="shared" ref="L31:L77" si="26">+L30</f>
        <v>0.15</v>
      </c>
      <c r="M31" s="108">
        <f t="shared" si="8"/>
        <v>2330</v>
      </c>
      <c r="N31" s="88">
        <f t="shared" si="9"/>
        <v>312.27</v>
      </c>
      <c r="O31" s="88">
        <f t="shared" si="10"/>
        <v>349.5</v>
      </c>
      <c r="P31" s="88">
        <f t="shared" si="11"/>
        <v>12.4908</v>
      </c>
      <c r="Q31" s="99">
        <f t="shared" si="12"/>
        <v>674.26080000000002</v>
      </c>
      <c r="S31" s="58">
        <f t="shared" si="13"/>
        <v>1983</v>
      </c>
      <c r="T31" s="52">
        <f t="shared" si="13"/>
        <v>22</v>
      </c>
      <c r="U31" s="52">
        <f t="shared" si="14"/>
        <v>0</v>
      </c>
      <c r="V31" s="54">
        <f t="shared" si="15"/>
        <v>0</v>
      </c>
      <c r="W31" s="54">
        <f t="shared" si="16"/>
        <v>0</v>
      </c>
      <c r="X31" s="52">
        <f t="shared" si="17"/>
        <v>0</v>
      </c>
      <c r="Y31" s="48">
        <f t="shared" si="18"/>
        <v>0</v>
      </c>
      <c r="Z31" s="52">
        <f t="shared" si="19"/>
        <v>0</v>
      </c>
      <c r="AA31" s="53">
        <f t="shared" si="20"/>
        <v>0</v>
      </c>
      <c r="AB31" s="52"/>
      <c r="AC31" s="58">
        <f t="shared" si="21"/>
        <v>1983</v>
      </c>
      <c r="AD31" s="74">
        <f t="shared" si="22"/>
        <v>21</v>
      </c>
      <c r="AE31" s="74">
        <f t="shared" si="1"/>
        <v>12</v>
      </c>
      <c r="AF31" s="53">
        <f t="shared" si="2"/>
        <v>2330</v>
      </c>
      <c r="AH31" s="58">
        <f t="shared" ref="AH31:AI46" si="27">+AH30+1</f>
        <v>3</v>
      </c>
      <c r="AI31" s="17">
        <f t="shared" si="27"/>
        <v>67</v>
      </c>
      <c r="AJ31" s="40">
        <f t="shared" si="23"/>
        <v>219825.16730572027</v>
      </c>
      <c r="AK31" s="51">
        <f t="shared" ref="AK31:AK77" si="28">+AK30</f>
        <v>14917.241820281928</v>
      </c>
      <c r="AL31" s="134">
        <f t="shared" si="24"/>
        <v>10245.396274271918</v>
      </c>
      <c r="AM31" s="135">
        <f t="shared" si="25"/>
        <v>215153.32175971026</v>
      </c>
    </row>
    <row r="32" spans="1:39" ht="15.75" thickBot="1">
      <c r="A32" s="14"/>
      <c r="B32" s="97">
        <f t="shared" si="3"/>
        <v>1984</v>
      </c>
      <c r="C32" s="88">
        <f t="shared" si="3"/>
        <v>22</v>
      </c>
      <c r="D32" s="89">
        <f t="shared" si="4"/>
        <v>1.0456783749999996</v>
      </c>
      <c r="E32" s="90">
        <f t="shared" si="5"/>
        <v>204.66666666666666</v>
      </c>
      <c r="F32" s="84">
        <v>12</v>
      </c>
      <c r="G32" s="98">
        <v>2456</v>
      </c>
      <c r="I32" s="97">
        <f t="shared" si="0"/>
        <v>1984</v>
      </c>
      <c r="J32" s="88">
        <f t="shared" si="6"/>
        <v>23</v>
      </c>
      <c r="K32" s="88">
        <f t="shared" si="7"/>
        <v>1</v>
      </c>
      <c r="L32" s="107">
        <f t="shared" si="26"/>
        <v>0.15</v>
      </c>
      <c r="M32" s="108">
        <f t="shared" si="8"/>
        <v>2456</v>
      </c>
      <c r="N32" s="88">
        <f t="shared" si="9"/>
        <v>674.26080000000002</v>
      </c>
      <c r="O32" s="88">
        <f t="shared" si="10"/>
        <v>368.4</v>
      </c>
      <c r="P32" s="88">
        <f t="shared" si="11"/>
        <v>26.970432000000002</v>
      </c>
      <c r="Q32" s="99">
        <f t="shared" si="12"/>
        <v>1069.6312320000002</v>
      </c>
      <c r="S32" s="58">
        <f t="shared" si="13"/>
        <v>1984</v>
      </c>
      <c r="T32" s="52">
        <f t="shared" si="13"/>
        <v>23</v>
      </c>
      <c r="U32" s="52">
        <f t="shared" si="14"/>
        <v>0</v>
      </c>
      <c r="V32" s="54">
        <f t="shared" si="15"/>
        <v>0</v>
      </c>
      <c r="W32" s="54">
        <f t="shared" si="16"/>
        <v>0</v>
      </c>
      <c r="X32" s="52">
        <f t="shared" si="17"/>
        <v>0</v>
      </c>
      <c r="Y32" s="48">
        <f t="shared" si="18"/>
        <v>0</v>
      </c>
      <c r="Z32" s="52">
        <f t="shared" si="19"/>
        <v>0</v>
      </c>
      <c r="AA32" s="53">
        <f t="shared" si="20"/>
        <v>0</v>
      </c>
      <c r="AB32" s="52"/>
      <c r="AC32" s="58">
        <f t="shared" si="21"/>
        <v>1984</v>
      </c>
      <c r="AD32" s="74">
        <f t="shared" si="22"/>
        <v>22</v>
      </c>
      <c r="AE32" s="74">
        <f t="shared" si="1"/>
        <v>12</v>
      </c>
      <c r="AF32" s="53">
        <f t="shared" si="2"/>
        <v>2456</v>
      </c>
      <c r="AH32" s="58">
        <f t="shared" si="27"/>
        <v>4</v>
      </c>
      <c r="AI32" s="17">
        <f t="shared" si="27"/>
        <v>68</v>
      </c>
      <c r="AJ32" s="40">
        <f t="shared" si="23"/>
        <v>215153.32175971026</v>
      </c>
      <c r="AK32" s="51">
        <f t="shared" si="28"/>
        <v>14917.241820281928</v>
      </c>
      <c r="AL32" s="134">
        <f t="shared" si="24"/>
        <v>10011.803996971417</v>
      </c>
      <c r="AM32" s="135">
        <f t="shared" si="25"/>
        <v>210247.88393639977</v>
      </c>
    </row>
    <row r="33" spans="1:39" ht="15.75" thickBot="1">
      <c r="A33" s="14"/>
      <c r="B33" s="97">
        <f t="shared" si="3"/>
        <v>1985</v>
      </c>
      <c r="C33" s="88">
        <f t="shared" si="3"/>
        <v>23</v>
      </c>
      <c r="D33" s="89">
        <f t="shared" si="4"/>
        <v>1.0613635506249994</v>
      </c>
      <c r="E33" s="90">
        <f t="shared" si="5"/>
        <v>196.33333333333334</v>
      </c>
      <c r="F33" s="84">
        <v>12</v>
      </c>
      <c r="G33" s="98">
        <v>2356</v>
      </c>
      <c r="I33" s="97">
        <f t="shared" si="0"/>
        <v>1985</v>
      </c>
      <c r="J33" s="88">
        <f t="shared" si="6"/>
        <v>24</v>
      </c>
      <c r="K33" s="88">
        <f t="shared" si="7"/>
        <v>1</v>
      </c>
      <c r="L33" s="107">
        <f t="shared" si="26"/>
        <v>0.15</v>
      </c>
      <c r="M33" s="108">
        <f t="shared" si="8"/>
        <v>2356</v>
      </c>
      <c r="N33" s="88">
        <f t="shared" si="9"/>
        <v>1069.6312320000002</v>
      </c>
      <c r="O33" s="88">
        <f t="shared" si="10"/>
        <v>353.4</v>
      </c>
      <c r="P33" s="88">
        <f t="shared" si="11"/>
        <v>42.785249280000009</v>
      </c>
      <c r="Q33" s="99">
        <f t="shared" si="12"/>
        <v>1465.8164812800003</v>
      </c>
      <c r="S33" s="58">
        <f t="shared" si="13"/>
        <v>1985</v>
      </c>
      <c r="T33" s="52">
        <f t="shared" si="13"/>
        <v>24</v>
      </c>
      <c r="U33" s="52">
        <f t="shared" si="14"/>
        <v>0</v>
      </c>
      <c r="V33" s="54">
        <f t="shared" si="15"/>
        <v>0</v>
      </c>
      <c r="W33" s="54">
        <f t="shared" si="16"/>
        <v>0</v>
      </c>
      <c r="X33" s="52">
        <f t="shared" si="17"/>
        <v>0</v>
      </c>
      <c r="Y33" s="48">
        <f t="shared" si="18"/>
        <v>0</v>
      </c>
      <c r="Z33" s="52">
        <f t="shared" si="19"/>
        <v>0</v>
      </c>
      <c r="AA33" s="53">
        <f t="shared" si="20"/>
        <v>0</v>
      </c>
      <c r="AB33" s="52"/>
      <c r="AC33" s="58">
        <f t="shared" si="21"/>
        <v>1985</v>
      </c>
      <c r="AD33" s="74">
        <f t="shared" si="22"/>
        <v>23</v>
      </c>
      <c r="AE33" s="74">
        <f t="shared" si="1"/>
        <v>12</v>
      </c>
      <c r="AF33" s="53">
        <f t="shared" si="2"/>
        <v>2356</v>
      </c>
      <c r="AH33" s="58">
        <f t="shared" si="27"/>
        <v>5</v>
      </c>
      <c r="AI33" s="17">
        <f t="shared" si="27"/>
        <v>69</v>
      </c>
      <c r="AJ33" s="40">
        <f t="shared" si="23"/>
        <v>210247.88393639977</v>
      </c>
      <c r="AK33" s="51">
        <f t="shared" si="28"/>
        <v>14917.241820281928</v>
      </c>
      <c r="AL33" s="134">
        <f t="shared" si="24"/>
        <v>9766.5321058058926</v>
      </c>
      <c r="AM33" s="135">
        <f t="shared" si="25"/>
        <v>205097.17422192375</v>
      </c>
    </row>
    <row r="34" spans="1:39" ht="15.75" thickBot="1">
      <c r="A34" s="14"/>
      <c r="B34" s="97">
        <f t="shared" si="3"/>
        <v>1986</v>
      </c>
      <c r="C34" s="88">
        <f t="shared" si="3"/>
        <v>24</v>
      </c>
      <c r="D34" s="89">
        <f t="shared" si="4"/>
        <v>1.0772840038843743</v>
      </c>
      <c r="E34" s="90">
        <f t="shared" si="5"/>
        <v>206.08333333333334</v>
      </c>
      <c r="F34" s="84">
        <v>12</v>
      </c>
      <c r="G34" s="98">
        <v>2473</v>
      </c>
      <c r="I34" s="97">
        <f t="shared" si="0"/>
        <v>1986</v>
      </c>
      <c r="J34" s="88">
        <f t="shared" si="6"/>
        <v>25</v>
      </c>
      <c r="K34" s="88">
        <f t="shared" si="7"/>
        <v>1</v>
      </c>
      <c r="L34" s="107">
        <f t="shared" si="26"/>
        <v>0.15</v>
      </c>
      <c r="M34" s="108">
        <f t="shared" si="8"/>
        <v>2473</v>
      </c>
      <c r="N34" s="88">
        <f t="shared" si="9"/>
        <v>1465.8164812800003</v>
      </c>
      <c r="O34" s="88">
        <f t="shared" si="10"/>
        <v>370.95</v>
      </c>
      <c r="P34" s="88">
        <f t="shared" si="11"/>
        <v>58.63265925120001</v>
      </c>
      <c r="Q34" s="99">
        <f t="shared" si="12"/>
        <v>1895.3991405312004</v>
      </c>
      <c r="S34" s="58">
        <f t="shared" si="13"/>
        <v>1986</v>
      </c>
      <c r="T34" s="52">
        <f t="shared" si="13"/>
        <v>25</v>
      </c>
      <c r="U34" s="52">
        <f t="shared" si="14"/>
        <v>0</v>
      </c>
      <c r="V34" s="54">
        <f t="shared" si="15"/>
        <v>0</v>
      </c>
      <c r="W34" s="54">
        <f t="shared" si="16"/>
        <v>0</v>
      </c>
      <c r="X34" s="52">
        <f t="shared" si="17"/>
        <v>0</v>
      </c>
      <c r="Y34" s="48">
        <f t="shared" si="18"/>
        <v>0</v>
      </c>
      <c r="Z34" s="52">
        <f t="shared" si="19"/>
        <v>0</v>
      </c>
      <c r="AA34" s="53">
        <f t="shared" si="20"/>
        <v>0</v>
      </c>
      <c r="AB34" s="52"/>
      <c r="AC34" s="58">
        <f t="shared" si="21"/>
        <v>1986</v>
      </c>
      <c r="AD34" s="74">
        <f t="shared" si="22"/>
        <v>24</v>
      </c>
      <c r="AE34" s="74">
        <f t="shared" si="1"/>
        <v>12</v>
      </c>
      <c r="AF34" s="53">
        <f t="shared" si="2"/>
        <v>2473</v>
      </c>
      <c r="AH34" s="58">
        <f t="shared" si="27"/>
        <v>6</v>
      </c>
      <c r="AI34" s="17">
        <f t="shared" si="27"/>
        <v>70</v>
      </c>
      <c r="AJ34" s="40">
        <f t="shared" si="23"/>
        <v>205097.17422192375</v>
      </c>
      <c r="AK34" s="51">
        <f t="shared" si="28"/>
        <v>14917.241820281928</v>
      </c>
      <c r="AL34" s="134">
        <f t="shared" si="24"/>
        <v>9508.9966200820909</v>
      </c>
      <c r="AM34" s="135">
        <f t="shared" si="25"/>
        <v>199688.92902172392</v>
      </c>
    </row>
    <row r="35" spans="1:39" ht="15.75" thickBot="1">
      <c r="A35" s="14"/>
      <c r="B35" s="97">
        <f t="shared" si="3"/>
        <v>1987</v>
      </c>
      <c r="C35" s="88">
        <f t="shared" si="3"/>
        <v>25</v>
      </c>
      <c r="D35" s="89">
        <f t="shared" si="4"/>
        <v>1.0934432639426397</v>
      </c>
      <c r="E35" s="90">
        <f t="shared" si="5"/>
        <v>276.66666666666669</v>
      </c>
      <c r="F35" s="84">
        <v>12</v>
      </c>
      <c r="G35" s="98">
        <v>3320</v>
      </c>
      <c r="I35" s="97">
        <f t="shared" si="0"/>
        <v>1987</v>
      </c>
      <c r="J35" s="88">
        <f t="shared" si="6"/>
        <v>26</v>
      </c>
      <c r="K35" s="88">
        <f t="shared" si="7"/>
        <v>1</v>
      </c>
      <c r="L35" s="107">
        <f t="shared" si="26"/>
        <v>0.15</v>
      </c>
      <c r="M35" s="108">
        <f t="shared" si="8"/>
        <v>3320</v>
      </c>
      <c r="N35" s="88">
        <f t="shared" si="9"/>
        <v>1895.3991405312004</v>
      </c>
      <c r="O35" s="88">
        <f t="shared" si="10"/>
        <v>498</v>
      </c>
      <c r="P35" s="88">
        <f t="shared" si="11"/>
        <v>75.815965621248012</v>
      </c>
      <c r="Q35" s="99">
        <f t="shared" si="12"/>
        <v>2469.2151061524482</v>
      </c>
      <c r="S35" s="58">
        <f t="shared" si="13"/>
        <v>1987</v>
      </c>
      <c r="T35" s="52">
        <f t="shared" si="13"/>
        <v>26</v>
      </c>
      <c r="U35" s="52">
        <f t="shared" si="14"/>
        <v>0</v>
      </c>
      <c r="V35" s="54">
        <f t="shared" si="15"/>
        <v>0</v>
      </c>
      <c r="W35" s="54">
        <f t="shared" si="16"/>
        <v>0</v>
      </c>
      <c r="X35" s="52">
        <f t="shared" si="17"/>
        <v>0</v>
      </c>
      <c r="Y35" s="48">
        <f t="shared" si="18"/>
        <v>0</v>
      </c>
      <c r="Z35" s="52">
        <f t="shared" si="19"/>
        <v>0</v>
      </c>
      <c r="AA35" s="53">
        <f t="shared" si="20"/>
        <v>0</v>
      </c>
      <c r="AB35" s="52"/>
      <c r="AC35" s="58">
        <f t="shared" si="21"/>
        <v>1987</v>
      </c>
      <c r="AD35" s="74">
        <f t="shared" si="22"/>
        <v>25</v>
      </c>
      <c r="AE35" s="74">
        <f t="shared" si="1"/>
        <v>12</v>
      </c>
      <c r="AF35" s="53">
        <f t="shared" si="2"/>
        <v>3320</v>
      </c>
      <c r="AH35" s="58">
        <f t="shared" si="27"/>
        <v>7</v>
      </c>
      <c r="AI35" s="17">
        <f t="shared" si="27"/>
        <v>71</v>
      </c>
      <c r="AJ35" s="40">
        <f t="shared" si="23"/>
        <v>199688.92902172392</v>
      </c>
      <c r="AK35" s="51">
        <f t="shared" si="28"/>
        <v>14917.241820281928</v>
      </c>
      <c r="AL35" s="134">
        <f t="shared" si="24"/>
        <v>9238.5843600721</v>
      </c>
      <c r="AM35" s="135">
        <f t="shared" si="25"/>
        <v>194010.27156151409</v>
      </c>
    </row>
    <row r="36" spans="1:39" ht="15.75" thickBot="1">
      <c r="A36" s="14"/>
      <c r="B36" s="97">
        <f t="shared" si="3"/>
        <v>1988</v>
      </c>
      <c r="C36" s="88">
        <f t="shared" si="3"/>
        <v>26</v>
      </c>
      <c r="D36" s="89">
        <f t="shared" si="4"/>
        <v>1.1098449129017791</v>
      </c>
      <c r="E36" s="90">
        <f t="shared" si="5"/>
        <v>300.25</v>
      </c>
      <c r="F36" s="84">
        <v>12</v>
      </c>
      <c r="G36" s="98">
        <v>3603</v>
      </c>
      <c r="I36" s="97">
        <f t="shared" si="0"/>
        <v>1988</v>
      </c>
      <c r="J36" s="88">
        <f t="shared" si="6"/>
        <v>27</v>
      </c>
      <c r="K36" s="88">
        <f t="shared" si="7"/>
        <v>1</v>
      </c>
      <c r="L36" s="107">
        <f t="shared" si="26"/>
        <v>0.15</v>
      </c>
      <c r="M36" s="108">
        <f t="shared" si="8"/>
        <v>3603</v>
      </c>
      <c r="N36" s="88">
        <f t="shared" si="9"/>
        <v>2469.2151061524482</v>
      </c>
      <c r="O36" s="88">
        <f t="shared" si="10"/>
        <v>540.44999999999993</v>
      </c>
      <c r="P36" s="88">
        <f t="shared" si="11"/>
        <v>98.768604246097937</v>
      </c>
      <c r="Q36" s="99">
        <f t="shared" si="12"/>
        <v>3108.4337103985458</v>
      </c>
      <c r="S36" s="58">
        <f t="shared" si="13"/>
        <v>1988</v>
      </c>
      <c r="T36" s="52">
        <f t="shared" si="13"/>
        <v>27</v>
      </c>
      <c r="U36" s="52">
        <f t="shared" si="14"/>
        <v>0</v>
      </c>
      <c r="V36" s="54">
        <f t="shared" si="15"/>
        <v>0</v>
      </c>
      <c r="W36" s="54">
        <f t="shared" si="16"/>
        <v>0</v>
      </c>
      <c r="X36" s="52">
        <f t="shared" si="17"/>
        <v>0</v>
      </c>
      <c r="Y36" s="48">
        <f t="shared" si="18"/>
        <v>0</v>
      </c>
      <c r="Z36" s="52">
        <f t="shared" si="19"/>
        <v>0</v>
      </c>
      <c r="AA36" s="53">
        <f t="shared" si="20"/>
        <v>0</v>
      </c>
      <c r="AB36" s="52"/>
      <c r="AC36" s="58">
        <f t="shared" si="21"/>
        <v>1988</v>
      </c>
      <c r="AD36" s="74">
        <f t="shared" si="22"/>
        <v>26</v>
      </c>
      <c r="AE36" s="74">
        <f t="shared" si="1"/>
        <v>12</v>
      </c>
      <c r="AF36" s="53">
        <f t="shared" si="2"/>
        <v>3603</v>
      </c>
      <c r="AH36" s="58">
        <f t="shared" si="27"/>
        <v>8</v>
      </c>
      <c r="AI36" s="17">
        <f t="shared" si="27"/>
        <v>72</v>
      </c>
      <c r="AJ36" s="40">
        <f t="shared" si="23"/>
        <v>194010.27156151409</v>
      </c>
      <c r="AK36" s="51">
        <f t="shared" si="28"/>
        <v>14917.241820281928</v>
      </c>
      <c r="AL36" s="134">
        <f t="shared" si="24"/>
        <v>8954.6514870616083</v>
      </c>
      <c r="AM36" s="135">
        <f t="shared" si="25"/>
        <v>188047.68122829378</v>
      </c>
    </row>
    <row r="37" spans="1:39" ht="15.75" thickBot="1">
      <c r="A37" s="14"/>
      <c r="B37" s="97">
        <f t="shared" si="3"/>
        <v>1989</v>
      </c>
      <c r="C37" s="88">
        <f t="shared" si="3"/>
        <v>27</v>
      </c>
      <c r="D37" s="89">
        <f t="shared" si="4"/>
        <v>1.1264925865953057</v>
      </c>
      <c r="E37" s="90">
        <f t="shared" si="5"/>
        <v>300.25</v>
      </c>
      <c r="F37" s="84">
        <v>12</v>
      </c>
      <c r="G37" s="98">
        <v>3603</v>
      </c>
      <c r="I37" s="97">
        <f t="shared" si="0"/>
        <v>1989</v>
      </c>
      <c r="J37" s="88">
        <f t="shared" si="6"/>
        <v>28</v>
      </c>
      <c r="K37" s="88">
        <f t="shared" si="7"/>
        <v>1</v>
      </c>
      <c r="L37" s="107">
        <f t="shared" si="26"/>
        <v>0.15</v>
      </c>
      <c r="M37" s="108">
        <f t="shared" si="8"/>
        <v>3603</v>
      </c>
      <c r="N37" s="88">
        <f t="shared" si="9"/>
        <v>3108.4337103985458</v>
      </c>
      <c r="O37" s="88">
        <f t="shared" si="10"/>
        <v>540.44999999999993</v>
      </c>
      <c r="P37" s="88">
        <f t="shared" si="11"/>
        <v>124.33734841594183</v>
      </c>
      <c r="Q37" s="99">
        <f t="shared" si="12"/>
        <v>3773.2210588144876</v>
      </c>
      <c r="S37" s="58">
        <f t="shared" si="13"/>
        <v>1989</v>
      </c>
      <c r="T37" s="52">
        <f t="shared" si="13"/>
        <v>28</v>
      </c>
      <c r="U37" s="52">
        <f t="shared" si="14"/>
        <v>0</v>
      </c>
      <c r="V37" s="54">
        <f t="shared" si="15"/>
        <v>0</v>
      </c>
      <c r="W37" s="54">
        <f t="shared" si="16"/>
        <v>0</v>
      </c>
      <c r="X37" s="52">
        <f t="shared" si="17"/>
        <v>0</v>
      </c>
      <c r="Y37" s="48">
        <f t="shared" si="18"/>
        <v>0</v>
      </c>
      <c r="Z37" s="52">
        <f t="shared" si="19"/>
        <v>0</v>
      </c>
      <c r="AA37" s="53">
        <f t="shared" si="20"/>
        <v>0</v>
      </c>
      <c r="AB37" s="52"/>
      <c r="AC37" s="58">
        <f t="shared" si="21"/>
        <v>1989</v>
      </c>
      <c r="AD37" s="74">
        <f t="shared" si="22"/>
        <v>27</v>
      </c>
      <c r="AE37" s="74">
        <f t="shared" si="1"/>
        <v>12</v>
      </c>
      <c r="AF37" s="53">
        <f t="shared" si="2"/>
        <v>3603</v>
      </c>
      <c r="AH37" s="58">
        <f t="shared" si="27"/>
        <v>9</v>
      </c>
      <c r="AI37" s="17">
        <f t="shared" si="27"/>
        <v>73</v>
      </c>
      <c r="AJ37" s="40">
        <f t="shared" si="23"/>
        <v>188047.68122829378</v>
      </c>
      <c r="AK37" s="51">
        <f t="shared" si="28"/>
        <v>14917.241820281928</v>
      </c>
      <c r="AL37" s="134">
        <f t="shared" si="24"/>
        <v>8656.5219704005922</v>
      </c>
      <c r="AM37" s="135">
        <f t="shared" si="25"/>
        <v>181786.96137841244</v>
      </c>
    </row>
    <row r="38" spans="1:39" ht="15.75" thickBot="1">
      <c r="A38" s="14"/>
      <c r="B38" s="97">
        <f t="shared" si="3"/>
        <v>1990</v>
      </c>
      <c r="C38" s="88">
        <f t="shared" si="3"/>
        <v>28</v>
      </c>
      <c r="D38" s="89">
        <f t="shared" si="4"/>
        <v>1.1433899753942351</v>
      </c>
      <c r="E38" s="90">
        <f t="shared" si="5"/>
        <v>302.75</v>
      </c>
      <c r="F38" s="84">
        <v>12</v>
      </c>
      <c r="G38" s="98">
        <v>3633</v>
      </c>
      <c r="I38" s="97">
        <f t="shared" si="0"/>
        <v>1990</v>
      </c>
      <c r="J38" s="88">
        <f t="shared" si="6"/>
        <v>29</v>
      </c>
      <c r="K38" s="88">
        <f t="shared" si="7"/>
        <v>1</v>
      </c>
      <c r="L38" s="107">
        <f t="shared" si="26"/>
        <v>0.15</v>
      </c>
      <c r="M38" s="108">
        <f t="shared" si="8"/>
        <v>3633</v>
      </c>
      <c r="N38" s="88">
        <f t="shared" si="9"/>
        <v>3773.2210588144876</v>
      </c>
      <c r="O38" s="88">
        <f t="shared" si="10"/>
        <v>544.94999999999993</v>
      </c>
      <c r="P38" s="88">
        <f t="shared" si="11"/>
        <v>150.92884235257949</v>
      </c>
      <c r="Q38" s="99">
        <f t="shared" si="12"/>
        <v>4469.0999011670674</v>
      </c>
      <c r="S38" s="58">
        <f t="shared" si="13"/>
        <v>1990</v>
      </c>
      <c r="T38" s="52">
        <f t="shared" si="13"/>
        <v>29</v>
      </c>
      <c r="U38" s="52">
        <f t="shared" si="14"/>
        <v>0</v>
      </c>
      <c r="V38" s="54">
        <f t="shared" si="15"/>
        <v>0</v>
      </c>
      <c r="W38" s="54">
        <f t="shared" si="16"/>
        <v>0</v>
      </c>
      <c r="X38" s="52">
        <f t="shared" si="17"/>
        <v>0</v>
      </c>
      <c r="Y38" s="48">
        <f t="shared" si="18"/>
        <v>0</v>
      </c>
      <c r="Z38" s="52">
        <f t="shared" si="19"/>
        <v>0</v>
      </c>
      <c r="AA38" s="53">
        <f t="shared" si="20"/>
        <v>0</v>
      </c>
      <c r="AB38" s="52"/>
      <c r="AC38" s="58">
        <f t="shared" si="21"/>
        <v>1990</v>
      </c>
      <c r="AD38" s="74">
        <f t="shared" si="22"/>
        <v>28</v>
      </c>
      <c r="AE38" s="74">
        <f t="shared" si="1"/>
        <v>12</v>
      </c>
      <c r="AF38" s="53">
        <f t="shared" si="2"/>
        <v>3633</v>
      </c>
      <c r="AH38" s="58">
        <f t="shared" si="27"/>
        <v>10</v>
      </c>
      <c r="AI38" s="17">
        <f t="shared" si="27"/>
        <v>74</v>
      </c>
      <c r="AJ38" s="40">
        <f t="shared" si="23"/>
        <v>181786.96137841244</v>
      </c>
      <c r="AK38" s="51">
        <f t="shared" si="28"/>
        <v>14917.241820281928</v>
      </c>
      <c r="AL38" s="134">
        <f t="shared" si="24"/>
        <v>8343.4859779065264</v>
      </c>
      <c r="AM38" s="135">
        <f t="shared" si="25"/>
        <v>175213.20553603704</v>
      </c>
    </row>
    <row r="39" spans="1:39" ht="15.75" thickBot="1">
      <c r="A39" s="14"/>
      <c r="B39" s="97">
        <f t="shared" si="3"/>
        <v>1991</v>
      </c>
      <c r="C39" s="88">
        <f t="shared" si="3"/>
        <v>29</v>
      </c>
      <c r="D39" s="89">
        <f t="shared" si="4"/>
        <v>1.1605408250251485</v>
      </c>
      <c r="E39" s="90">
        <f t="shared" si="5"/>
        <v>330.25</v>
      </c>
      <c r="F39" s="84">
        <v>12</v>
      </c>
      <c r="G39" s="98">
        <v>3963</v>
      </c>
      <c r="I39" s="97">
        <f t="shared" si="0"/>
        <v>1991</v>
      </c>
      <c r="J39" s="88">
        <f t="shared" si="6"/>
        <v>30</v>
      </c>
      <c r="K39" s="88">
        <f t="shared" si="7"/>
        <v>1</v>
      </c>
      <c r="L39" s="107">
        <f t="shared" si="26"/>
        <v>0.15</v>
      </c>
      <c r="M39" s="108">
        <f t="shared" si="8"/>
        <v>3963</v>
      </c>
      <c r="N39" s="88">
        <f t="shared" si="9"/>
        <v>4469.0999011670674</v>
      </c>
      <c r="O39" s="88">
        <f t="shared" si="10"/>
        <v>594.44999999999993</v>
      </c>
      <c r="P39" s="88">
        <f t="shared" si="11"/>
        <v>178.76399604668271</v>
      </c>
      <c r="Q39" s="99">
        <f t="shared" si="12"/>
        <v>5242.3138972137504</v>
      </c>
      <c r="S39" s="58">
        <f t="shared" si="13"/>
        <v>1991</v>
      </c>
      <c r="T39" s="52">
        <f t="shared" si="13"/>
        <v>30</v>
      </c>
      <c r="U39" s="52">
        <f t="shared" si="14"/>
        <v>0</v>
      </c>
      <c r="V39" s="54">
        <f t="shared" si="15"/>
        <v>0</v>
      </c>
      <c r="W39" s="54">
        <f t="shared" si="16"/>
        <v>0</v>
      </c>
      <c r="X39" s="52">
        <f t="shared" si="17"/>
        <v>0</v>
      </c>
      <c r="Y39" s="48">
        <f t="shared" si="18"/>
        <v>0</v>
      </c>
      <c r="Z39" s="52">
        <f t="shared" si="19"/>
        <v>0</v>
      </c>
      <c r="AA39" s="53">
        <f t="shared" si="20"/>
        <v>0</v>
      </c>
      <c r="AB39" s="52"/>
      <c r="AC39" s="58">
        <f t="shared" si="21"/>
        <v>1991</v>
      </c>
      <c r="AD39" s="74">
        <f t="shared" si="22"/>
        <v>29</v>
      </c>
      <c r="AE39" s="74">
        <f t="shared" si="1"/>
        <v>12</v>
      </c>
      <c r="AF39" s="53">
        <f t="shared" si="2"/>
        <v>3963</v>
      </c>
      <c r="AH39" s="58">
        <f t="shared" si="27"/>
        <v>11</v>
      </c>
      <c r="AI39" s="17">
        <f t="shared" si="27"/>
        <v>75</v>
      </c>
      <c r="AJ39" s="40">
        <f t="shared" si="23"/>
        <v>175213.20553603704</v>
      </c>
      <c r="AK39" s="51">
        <f t="shared" si="28"/>
        <v>14917.241820281928</v>
      </c>
      <c r="AL39" s="134">
        <f t="shared" si="24"/>
        <v>8014.7981857877567</v>
      </c>
      <c r="AM39" s="135">
        <f t="shared" si="25"/>
        <v>168310.76190154286</v>
      </c>
    </row>
    <row r="40" spans="1:39" ht="15.75" thickBot="1">
      <c r="A40" s="14"/>
      <c r="B40" s="97">
        <f t="shared" si="3"/>
        <v>1992</v>
      </c>
      <c r="C40" s="88">
        <f t="shared" si="3"/>
        <v>30</v>
      </c>
      <c r="D40" s="89">
        <f t="shared" si="4"/>
        <v>1.1779489374005256</v>
      </c>
      <c r="E40" s="90">
        <f t="shared" si="5"/>
        <v>371.75</v>
      </c>
      <c r="F40" s="84">
        <v>12</v>
      </c>
      <c r="G40" s="98">
        <v>4461</v>
      </c>
      <c r="I40" s="97">
        <f t="shared" si="0"/>
        <v>1992</v>
      </c>
      <c r="J40" s="88">
        <f t="shared" si="6"/>
        <v>31</v>
      </c>
      <c r="K40" s="88">
        <f t="shared" si="7"/>
        <v>1</v>
      </c>
      <c r="L40" s="107">
        <f t="shared" si="26"/>
        <v>0.15</v>
      </c>
      <c r="M40" s="108">
        <f t="shared" si="8"/>
        <v>4461</v>
      </c>
      <c r="N40" s="88">
        <f t="shared" si="9"/>
        <v>5242.3138972137504</v>
      </c>
      <c r="O40" s="88">
        <f t="shared" si="10"/>
        <v>669.15</v>
      </c>
      <c r="P40" s="88">
        <f t="shared" si="11"/>
        <v>209.69255588855003</v>
      </c>
      <c r="Q40" s="99">
        <f t="shared" si="12"/>
        <v>6121.1564531022996</v>
      </c>
      <c r="S40" s="58">
        <f t="shared" si="13"/>
        <v>1992</v>
      </c>
      <c r="T40" s="52">
        <f t="shared" si="13"/>
        <v>31</v>
      </c>
      <c r="U40" s="52">
        <f t="shared" si="14"/>
        <v>0</v>
      </c>
      <c r="V40" s="54">
        <f t="shared" si="15"/>
        <v>0</v>
      </c>
      <c r="W40" s="54">
        <f t="shared" si="16"/>
        <v>0</v>
      </c>
      <c r="X40" s="52">
        <f t="shared" si="17"/>
        <v>0</v>
      </c>
      <c r="Y40" s="48">
        <f t="shared" si="18"/>
        <v>0</v>
      </c>
      <c r="Z40" s="52">
        <f t="shared" si="19"/>
        <v>0</v>
      </c>
      <c r="AA40" s="53">
        <f t="shared" si="20"/>
        <v>0</v>
      </c>
      <c r="AB40" s="52"/>
      <c r="AC40" s="58">
        <f t="shared" si="21"/>
        <v>1992</v>
      </c>
      <c r="AD40" s="74">
        <f t="shared" si="22"/>
        <v>30</v>
      </c>
      <c r="AE40" s="74">
        <f t="shared" si="1"/>
        <v>12</v>
      </c>
      <c r="AF40" s="53">
        <f t="shared" si="2"/>
        <v>4461</v>
      </c>
      <c r="AH40" s="58">
        <f t="shared" si="27"/>
        <v>12</v>
      </c>
      <c r="AI40" s="17">
        <f t="shared" si="27"/>
        <v>76</v>
      </c>
      <c r="AJ40" s="40">
        <f t="shared" si="23"/>
        <v>168310.76190154286</v>
      </c>
      <c r="AK40" s="51">
        <f t="shared" si="28"/>
        <v>14917.241820281928</v>
      </c>
      <c r="AL40" s="134">
        <f t="shared" si="24"/>
        <v>7669.676004063047</v>
      </c>
      <c r="AM40" s="135">
        <f t="shared" si="25"/>
        <v>161063.19608532399</v>
      </c>
    </row>
    <row r="41" spans="1:39" ht="15.75" thickBot="1">
      <c r="A41" s="14"/>
      <c r="B41" s="97">
        <f t="shared" si="3"/>
        <v>1993</v>
      </c>
      <c r="C41" s="88">
        <f t="shared" si="3"/>
        <v>31</v>
      </c>
      <c r="D41" s="89">
        <f t="shared" si="4"/>
        <v>1.1956181714615335</v>
      </c>
      <c r="E41" s="90">
        <f t="shared" si="5"/>
        <v>512.5</v>
      </c>
      <c r="F41" s="84">
        <v>12</v>
      </c>
      <c r="G41" s="98">
        <v>6150</v>
      </c>
      <c r="I41" s="97">
        <f t="shared" si="0"/>
        <v>1993</v>
      </c>
      <c r="J41" s="88">
        <f t="shared" si="6"/>
        <v>32</v>
      </c>
      <c r="K41" s="88">
        <f t="shared" si="7"/>
        <v>1</v>
      </c>
      <c r="L41" s="107">
        <f t="shared" si="26"/>
        <v>0.15</v>
      </c>
      <c r="M41" s="108">
        <f t="shared" si="8"/>
        <v>6150</v>
      </c>
      <c r="N41" s="88">
        <f t="shared" si="9"/>
        <v>6121.1564531022996</v>
      </c>
      <c r="O41" s="88">
        <f t="shared" si="10"/>
        <v>922.5</v>
      </c>
      <c r="P41" s="88">
        <f t="shared" si="11"/>
        <v>244.84625812409197</v>
      </c>
      <c r="Q41" s="99">
        <f t="shared" si="12"/>
        <v>7288.5027112263915</v>
      </c>
      <c r="S41" s="58">
        <f t="shared" si="13"/>
        <v>1993</v>
      </c>
      <c r="T41" s="52">
        <f t="shared" si="13"/>
        <v>32</v>
      </c>
      <c r="U41" s="52">
        <f t="shared" si="14"/>
        <v>0</v>
      </c>
      <c r="V41" s="54">
        <f t="shared" si="15"/>
        <v>0</v>
      </c>
      <c r="W41" s="54">
        <f t="shared" si="16"/>
        <v>0</v>
      </c>
      <c r="X41" s="52">
        <f t="shared" si="17"/>
        <v>0</v>
      </c>
      <c r="Y41" s="48">
        <f t="shared" si="18"/>
        <v>0</v>
      </c>
      <c r="Z41" s="52">
        <f t="shared" si="19"/>
        <v>0</v>
      </c>
      <c r="AA41" s="53">
        <f t="shared" si="20"/>
        <v>0</v>
      </c>
      <c r="AB41" s="52"/>
      <c r="AC41" s="58">
        <f t="shared" si="21"/>
        <v>1993</v>
      </c>
      <c r="AD41" s="74">
        <f t="shared" si="22"/>
        <v>31</v>
      </c>
      <c r="AE41" s="74">
        <f t="shared" si="1"/>
        <v>12</v>
      </c>
      <c r="AF41" s="53">
        <f t="shared" si="2"/>
        <v>6150</v>
      </c>
      <c r="AH41" s="58">
        <f t="shared" si="27"/>
        <v>13</v>
      </c>
      <c r="AI41" s="17">
        <f t="shared" si="27"/>
        <v>77</v>
      </c>
      <c r="AJ41" s="40">
        <f t="shared" si="23"/>
        <v>161063.19608532399</v>
      </c>
      <c r="AK41" s="51">
        <f t="shared" si="28"/>
        <v>14917.241820281928</v>
      </c>
      <c r="AL41" s="134">
        <f t="shared" si="24"/>
        <v>7307.2977132521037</v>
      </c>
      <c r="AM41" s="135">
        <f t="shared" si="25"/>
        <v>153453.25197829417</v>
      </c>
    </row>
    <row r="42" spans="1:39" ht="15.75" thickBot="1">
      <c r="A42" s="14"/>
      <c r="B42" s="97">
        <f t="shared" si="3"/>
        <v>1994</v>
      </c>
      <c r="C42" s="88">
        <f t="shared" si="3"/>
        <v>32</v>
      </c>
      <c r="D42" s="89">
        <f t="shared" si="4"/>
        <v>1.2135524440334564</v>
      </c>
      <c r="E42" s="90">
        <f t="shared" si="5"/>
        <v>884.08333333333337</v>
      </c>
      <c r="F42" s="84">
        <v>12</v>
      </c>
      <c r="G42" s="98">
        <v>10609</v>
      </c>
      <c r="I42" s="97">
        <f t="shared" si="0"/>
        <v>1994</v>
      </c>
      <c r="J42" s="88">
        <f t="shared" si="6"/>
        <v>33</v>
      </c>
      <c r="K42" s="88">
        <f t="shared" si="7"/>
        <v>1</v>
      </c>
      <c r="L42" s="107">
        <f t="shared" si="26"/>
        <v>0.15</v>
      </c>
      <c r="M42" s="108">
        <f t="shared" si="8"/>
        <v>10609</v>
      </c>
      <c r="N42" s="88">
        <f t="shared" si="9"/>
        <v>7288.5027112263915</v>
      </c>
      <c r="O42" s="88">
        <f t="shared" si="10"/>
        <v>1591.35</v>
      </c>
      <c r="P42" s="88">
        <f t="shared" si="11"/>
        <v>291.54010844905565</v>
      </c>
      <c r="Q42" s="99">
        <f t="shared" si="12"/>
        <v>9171.3928196754459</v>
      </c>
      <c r="S42" s="58">
        <f t="shared" si="13"/>
        <v>1994</v>
      </c>
      <c r="T42" s="52">
        <f t="shared" si="13"/>
        <v>33</v>
      </c>
      <c r="U42" s="52">
        <f t="shared" si="14"/>
        <v>0</v>
      </c>
      <c r="V42" s="54">
        <f t="shared" si="15"/>
        <v>0</v>
      </c>
      <c r="W42" s="54">
        <f t="shared" si="16"/>
        <v>0</v>
      </c>
      <c r="X42" s="52">
        <f t="shared" si="17"/>
        <v>0</v>
      </c>
      <c r="Y42" s="48">
        <f t="shared" si="18"/>
        <v>0</v>
      </c>
      <c r="Z42" s="52">
        <f t="shared" si="19"/>
        <v>0</v>
      </c>
      <c r="AA42" s="53">
        <f t="shared" si="20"/>
        <v>0</v>
      </c>
      <c r="AB42" s="52"/>
      <c r="AC42" s="58">
        <f t="shared" si="21"/>
        <v>1994</v>
      </c>
      <c r="AD42" s="74">
        <f t="shared" si="22"/>
        <v>32</v>
      </c>
      <c r="AE42" s="74">
        <f t="shared" si="1"/>
        <v>12</v>
      </c>
      <c r="AF42" s="53">
        <f t="shared" si="2"/>
        <v>10609</v>
      </c>
      <c r="AH42" s="58">
        <f t="shared" si="27"/>
        <v>14</v>
      </c>
      <c r="AI42" s="17">
        <f t="shared" si="27"/>
        <v>78</v>
      </c>
      <c r="AJ42" s="40">
        <f t="shared" si="23"/>
        <v>153453.25197829417</v>
      </c>
      <c r="AK42" s="51">
        <f t="shared" si="28"/>
        <v>14917.241820281928</v>
      </c>
      <c r="AL42" s="134">
        <f t="shared" si="24"/>
        <v>6926.8005079006125</v>
      </c>
      <c r="AM42" s="135">
        <f t="shared" si="25"/>
        <v>145462.81066591287</v>
      </c>
    </row>
    <row r="43" spans="1:39" ht="15.75" thickBot="1">
      <c r="A43" s="14"/>
      <c r="B43" s="97">
        <f t="shared" si="3"/>
        <v>1995</v>
      </c>
      <c r="C43" s="88">
        <f t="shared" si="3"/>
        <v>33</v>
      </c>
      <c r="D43" s="89">
        <f t="shared" si="4"/>
        <v>1.2317557306939582</v>
      </c>
      <c r="E43" s="90">
        <f t="shared" si="5"/>
        <v>753.75</v>
      </c>
      <c r="F43" s="84">
        <v>12</v>
      </c>
      <c r="G43" s="98">
        <v>9045</v>
      </c>
      <c r="I43" s="97">
        <f t="shared" si="0"/>
        <v>1995</v>
      </c>
      <c r="J43" s="88">
        <f t="shared" si="6"/>
        <v>34</v>
      </c>
      <c r="K43" s="88">
        <f t="shared" si="7"/>
        <v>1</v>
      </c>
      <c r="L43" s="107">
        <f t="shared" si="26"/>
        <v>0.15</v>
      </c>
      <c r="M43" s="108">
        <f t="shared" si="8"/>
        <v>9045</v>
      </c>
      <c r="N43" s="88">
        <f t="shared" si="9"/>
        <v>9171.3928196754459</v>
      </c>
      <c r="O43" s="88">
        <f t="shared" si="10"/>
        <v>1356.75</v>
      </c>
      <c r="P43" s="88">
        <f t="shared" si="11"/>
        <v>366.85571278701786</v>
      </c>
      <c r="Q43" s="99">
        <f t="shared" si="12"/>
        <v>10894.998532462463</v>
      </c>
      <c r="S43" s="58">
        <f t="shared" si="13"/>
        <v>1995</v>
      </c>
      <c r="T43" s="52">
        <f t="shared" si="13"/>
        <v>34</v>
      </c>
      <c r="U43" s="52">
        <f t="shared" si="14"/>
        <v>0</v>
      </c>
      <c r="V43" s="54">
        <f t="shared" si="15"/>
        <v>0</v>
      </c>
      <c r="W43" s="54">
        <f t="shared" si="16"/>
        <v>0</v>
      </c>
      <c r="X43" s="52">
        <f t="shared" si="17"/>
        <v>0</v>
      </c>
      <c r="Y43" s="48">
        <f t="shared" si="18"/>
        <v>0</v>
      </c>
      <c r="Z43" s="52">
        <f t="shared" si="19"/>
        <v>0</v>
      </c>
      <c r="AA43" s="53">
        <f t="shared" si="20"/>
        <v>0</v>
      </c>
      <c r="AB43" s="52"/>
      <c r="AC43" s="58">
        <f t="shared" si="21"/>
        <v>1995</v>
      </c>
      <c r="AD43" s="74">
        <f t="shared" si="22"/>
        <v>33</v>
      </c>
      <c r="AE43" s="74">
        <f t="shared" si="1"/>
        <v>12</v>
      </c>
      <c r="AF43" s="53">
        <f t="shared" si="2"/>
        <v>9045</v>
      </c>
      <c r="AH43" s="58">
        <f t="shared" si="27"/>
        <v>15</v>
      </c>
      <c r="AI43" s="17">
        <f t="shared" si="27"/>
        <v>79</v>
      </c>
      <c r="AJ43" s="40">
        <f t="shared" si="23"/>
        <v>145462.81066591287</v>
      </c>
      <c r="AK43" s="51">
        <f t="shared" si="28"/>
        <v>14917.241820281928</v>
      </c>
      <c r="AL43" s="134">
        <f t="shared" si="24"/>
        <v>6527.2784422815475</v>
      </c>
      <c r="AM43" s="135">
        <f t="shared" si="25"/>
        <v>137072.8472879125</v>
      </c>
    </row>
    <row r="44" spans="1:39" ht="15.75" thickBot="1">
      <c r="A44" s="14"/>
      <c r="B44" s="97">
        <f t="shared" si="3"/>
        <v>1996</v>
      </c>
      <c r="C44" s="88">
        <f t="shared" si="3"/>
        <v>34</v>
      </c>
      <c r="D44" s="89">
        <f t="shared" si="4"/>
        <v>1.2502320666543674</v>
      </c>
      <c r="E44" s="90">
        <f t="shared" si="5"/>
        <v>790.5</v>
      </c>
      <c r="F44" s="84">
        <v>12</v>
      </c>
      <c r="G44" s="98">
        <v>9486</v>
      </c>
      <c r="I44" s="97">
        <f t="shared" si="0"/>
        <v>1996</v>
      </c>
      <c r="J44" s="88">
        <f t="shared" si="6"/>
        <v>35</v>
      </c>
      <c r="K44" s="88">
        <f t="shared" si="7"/>
        <v>1</v>
      </c>
      <c r="L44" s="107">
        <f t="shared" si="26"/>
        <v>0.15</v>
      </c>
      <c r="M44" s="108">
        <f t="shared" si="8"/>
        <v>9486</v>
      </c>
      <c r="N44" s="88">
        <f t="shared" si="9"/>
        <v>10894.998532462463</v>
      </c>
      <c r="O44" s="88">
        <f t="shared" si="10"/>
        <v>1422.8999999999999</v>
      </c>
      <c r="P44" s="88">
        <f t="shared" si="11"/>
        <v>435.79994129849854</v>
      </c>
      <c r="Q44" s="99">
        <f t="shared" si="12"/>
        <v>12753.698473760962</v>
      </c>
      <c r="S44" s="58">
        <f t="shared" si="13"/>
        <v>1996</v>
      </c>
      <c r="T44" s="52">
        <f t="shared" si="13"/>
        <v>35</v>
      </c>
      <c r="U44" s="52">
        <f t="shared" si="14"/>
        <v>0</v>
      </c>
      <c r="V44" s="54">
        <f t="shared" si="15"/>
        <v>0</v>
      </c>
      <c r="W44" s="54">
        <f t="shared" si="16"/>
        <v>0</v>
      </c>
      <c r="X44" s="52">
        <f t="shared" si="17"/>
        <v>0</v>
      </c>
      <c r="Y44" s="48">
        <f t="shared" si="18"/>
        <v>0</v>
      </c>
      <c r="Z44" s="52">
        <f t="shared" si="19"/>
        <v>0</v>
      </c>
      <c r="AA44" s="53">
        <f t="shared" si="20"/>
        <v>0</v>
      </c>
      <c r="AB44" s="52"/>
      <c r="AC44" s="58">
        <f t="shared" si="21"/>
        <v>1996</v>
      </c>
      <c r="AD44" s="74">
        <f t="shared" si="22"/>
        <v>34</v>
      </c>
      <c r="AE44" s="74">
        <f t="shared" si="1"/>
        <v>12</v>
      </c>
      <c r="AF44" s="53">
        <f t="shared" si="2"/>
        <v>9486</v>
      </c>
      <c r="AH44" s="58">
        <f t="shared" si="27"/>
        <v>16</v>
      </c>
      <c r="AI44" s="17">
        <f t="shared" si="27"/>
        <v>80</v>
      </c>
      <c r="AJ44" s="40">
        <f t="shared" si="23"/>
        <v>137072.8472879125</v>
      </c>
      <c r="AK44" s="51">
        <f t="shared" si="28"/>
        <v>14917.241820281928</v>
      </c>
      <c r="AL44" s="134">
        <f t="shared" si="24"/>
        <v>6107.7802733815297</v>
      </c>
      <c r="AM44" s="135">
        <f t="shared" si="25"/>
        <v>128263.38574101211</v>
      </c>
    </row>
    <row r="45" spans="1:39" ht="15.75" thickBot="1">
      <c r="A45" s="14"/>
      <c r="B45" s="97">
        <f t="shared" si="3"/>
        <v>1997</v>
      </c>
      <c r="C45" s="88">
        <f t="shared" si="3"/>
        <v>35</v>
      </c>
      <c r="D45" s="89">
        <f t="shared" si="4"/>
        <v>1.2689855476541827</v>
      </c>
      <c r="E45" s="90">
        <f t="shared" si="5"/>
        <v>790.5</v>
      </c>
      <c r="F45" s="84">
        <v>12</v>
      </c>
      <c r="G45" s="98">
        <v>9486</v>
      </c>
      <c r="I45" s="97">
        <f t="shared" si="0"/>
        <v>1997</v>
      </c>
      <c r="J45" s="88">
        <f t="shared" si="6"/>
        <v>36</v>
      </c>
      <c r="K45" s="88">
        <f t="shared" si="7"/>
        <v>1</v>
      </c>
      <c r="L45" s="107">
        <f t="shared" si="26"/>
        <v>0.15</v>
      </c>
      <c r="M45" s="108">
        <f t="shared" si="8"/>
        <v>9486</v>
      </c>
      <c r="N45" s="88">
        <f t="shared" si="9"/>
        <v>12753.698473760962</v>
      </c>
      <c r="O45" s="88">
        <f t="shared" si="10"/>
        <v>1422.8999999999999</v>
      </c>
      <c r="P45" s="88">
        <f t="shared" si="11"/>
        <v>510.14793895043846</v>
      </c>
      <c r="Q45" s="99">
        <f t="shared" si="12"/>
        <v>14686.7464127114</v>
      </c>
      <c r="S45" s="58">
        <f t="shared" si="13"/>
        <v>1997</v>
      </c>
      <c r="T45" s="52">
        <f t="shared" si="13"/>
        <v>36</v>
      </c>
      <c r="U45" s="52">
        <f t="shared" si="14"/>
        <v>0</v>
      </c>
      <c r="V45" s="54">
        <f t="shared" si="15"/>
        <v>0</v>
      </c>
      <c r="W45" s="54">
        <f t="shared" si="16"/>
        <v>0</v>
      </c>
      <c r="X45" s="52">
        <f t="shared" si="17"/>
        <v>0</v>
      </c>
      <c r="Y45" s="48">
        <f t="shared" si="18"/>
        <v>0</v>
      </c>
      <c r="Z45" s="52">
        <f t="shared" si="19"/>
        <v>0</v>
      </c>
      <c r="AA45" s="53">
        <f t="shared" si="20"/>
        <v>0</v>
      </c>
      <c r="AB45" s="52"/>
      <c r="AC45" s="58">
        <f t="shared" si="21"/>
        <v>1997</v>
      </c>
      <c r="AD45" s="74">
        <f t="shared" si="22"/>
        <v>35</v>
      </c>
      <c r="AE45" s="74">
        <f t="shared" si="1"/>
        <v>12</v>
      </c>
      <c r="AF45" s="53">
        <f t="shared" si="2"/>
        <v>9486</v>
      </c>
      <c r="AH45" s="58">
        <f t="shared" si="27"/>
        <v>17</v>
      </c>
      <c r="AI45" s="17">
        <f t="shared" si="27"/>
        <v>81</v>
      </c>
      <c r="AJ45" s="40">
        <f t="shared" si="23"/>
        <v>128263.38574101211</v>
      </c>
      <c r="AK45" s="51">
        <f t="shared" si="28"/>
        <v>14917.241820281928</v>
      </c>
      <c r="AL45" s="134">
        <f t="shared" si="24"/>
        <v>5667.3071960365096</v>
      </c>
      <c r="AM45" s="135">
        <f t="shared" si="25"/>
        <v>119013.45111676669</v>
      </c>
    </row>
    <row r="46" spans="1:39" ht="15.75" thickBot="1">
      <c r="A46" s="14"/>
      <c r="B46" s="97">
        <f t="shared" ref="B46:C61" si="29">+B45+1</f>
        <v>1998</v>
      </c>
      <c r="C46" s="88">
        <f t="shared" si="29"/>
        <v>36</v>
      </c>
      <c r="D46" s="89">
        <f t="shared" si="4"/>
        <v>1.2880203308689953</v>
      </c>
      <c r="E46" s="90">
        <f t="shared" si="5"/>
        <v>931.5</v>
      </c>
      <c r="F46" s="84">
        <v>12</v>
      </c>
      <c r="G46" s="98">
        <v>11178</v>
      </c>
      <c r="I46" s="97">
        <f t="shared" si="0"/>
        <v>1998</v>
      </c>
      <c r="J46" s="88">
        <f t="shared" si="6"/>
        <v>37</v>
      </c>
      <c r="K46" s="88">
        <f t="shared" si="7"/>
        <v>1</v>
      </c>
      <c r="L46" s="107">
        <f t="shared" si="26"/>
        <v>0.15</v>
      </c>
      <c r="M46" s="108">
        <f t="shared" si="8"/>
        <v>11178</v>
      </c>
      <c r="N46" s="88">
        <f t="shared" si="9"/>
        <v>14686.7464127114</v>
      </c>
      <c r="O46" s="88">
        <f t="shared" si="10"/>
        <v>1676.7</v>
      </c>
      <c r="P46" s="88">
        <f t="shared" si="11"/>
        <v>587.46985650845602</v>
      </c>
      <c r="Q46" s="99">
        <f t="shared" si="12"/>
        <v>16950.916269219855</v>
      </c>
      <c r="S46" s="58">
        <f t="shared" si="13"/>
        <v>1998</v>
      </c>
      <c r="T46" s="52">
        <f t="shared" si="13"/>
        <v>37</v>
      </c>
      <c r="U46" s="52">
        <f t="shared" si="14"/>
        <v>0</v>
      </c>
      <c r="V46" s="54">
        <f t="shared" si="15"/>
        <v>0</v>
      </c>
      <c r="W46" s="54">
        <f t="shared" si="16"/>
        <v>0</v>
      </c>
      <c r="X46" s="52">
        <f t="shared" si="17"/>
        <v>0</v>
      </c>
      <c r="Y46" s="48">
        <f t="shared" si="18"/>
        <v>0</v>
      </c>
      <c r="Z46" s="52">
        <f t="shared" si="19"/>
        <v>0</v>
      </c>
      <c r="AA46" s="53">
        <f t="shared" si="20"/>
        <v>0</v>
      </c>
      <c r="AB46" s="52"/>
      <c r="AC46" s="58">
        <f t="shared" si="21"/>
        <v>1998</v>
      </c>
      <c r="AD46" s="74">
        <f t="shared" si="22"/>
        <v>36</v>
      </c>
      <c r="AE46" s="74">
        <f t="shared" si="1"/>
        <v>12</v>
      </c>
      <c r="AF46" s="53">
        <f t="shared" si="2"/>
        <v>11178</v>
      </c>
      <c r="AH46" s="58">
        <f t="shared" si="27"/>
        <v>18</v>
      </c>
      <c r="AI46" s="17">
        <f t="shared" si="27"/>
        <v>82</v>
      </c>
      <c r="AJ46" s="40">
        <f t="shared" si="23"/>
        <v>119013.45111676669</v>
      </c>
      <c r="AK46" s="51">
        <f t="shared" si="28"/>
        <v>14917.241820281928</v>
      </c>
      <c r="AL46" s="134">
        <f t="shared" si="24"/>
        <v>5204.8104648242388</v>
      </c>
      <c r="AM46" s="135">
        <f t="shared" si="25"/>
        <v>109301.01976130901</v>
      </c>
    </row>
    <row r="47" spans="1:39" ht="15.75" thickBot="1">
      <c r="A47" s="14"/>
      <c r="B47" s="97">
        <f t="shared" si="29"/>
        <v>1999</v>
      </c>
      <c r="C47" s="88">
        <f t="shared" si="29"/>
        <v>37</v>
      </c>
      <c r="D47" s="89">
        <f t="shared" si="4"/>
        <v>1.3073406358320301</v>
      </c>
      <c r="E47" s="90">
        <f t="shared" si="5"/>
        <v>926.25</v>
      </c>
      <c r="F47" s="84">
        <v>12</v>
      </c>
      <c r="G47" s="121">
        <v>11115</v>
      </c>
      <c r="I47" s="97">
        <f t="shared" si="0"/>
        <v>1999</v>
      </c>
      <c r="J47" s="88">
        <f t="shared" si="6"/>
        <v>38</v>
      </c>
      <c r="K47" s="88">
        <f t="shared" si="7"/>
        <v>1</v>
      </c>
      <c r="L47" s="107">
        <f t="shared" si="26"/>
        <v>0.15</v>
      </c>
      <c r="M47" s="108">
        <f t="shared" si="8"/>
        <v>11115</v>
      </c>
      <c r="N47" s="88">
        <f t="shared" si="9"/>
        <v>16950.916269219855</v>
      </c>
      <c r="O47" s="88">
        <f t="shared" si="10"/>
        <v>1667.25</v>
      </c>
      <c r="P47" s="88">
        <f t="shared" si="11"/>
        <v>678.03665076879417</v>
      </c>
      <c r="Q47" s="99">
        <f t="shared" si="12"/>
        <v>19296.202919988649</v>
      </c>
      <c r="S47" s="58">
        <f t="shared" si="13"/>
        <v>1999</v>
      </c>
      <c r="T47" s="52">
        <f t="shared" si="13"/>
        <v>38</v>
      </c>
      <c r="U47" s="52">
        <f t="shared" si="14"/>
        <v>0</v>
      </c>
      <c r="V47" s="54">
        <f t="shared" si="15"/>
        <v>0</v>
      </c>
      <c r="W47" s="54">
        <f t="shared" si="16"/>
        <v>0</v>
      </c>
      <c r="X47" s="52">
        <f t="shared" si="17"/>
        <v>0</v>
      </c>
      <c r="Y47" s="48">
        <f t="shared" si="18"/>
        <v>0</v>
      </c>
      <c r="Z47" s="52">
        <f t="shared" si="19"/>
        <v>0</v>
      </c>
      <c r="AA47" s="53">
        <f t="shared" si="20"/>
        <v>0</v>
      </c>
      <c r="AB47" s="52"/>
      <c r="AC47" s="58">
        <f t="shared" si="21"/>
        <v>1999</v>
      </c>
      <c r="AD47" s="74">
        <f t="shared" si="22"/>
        <v>37</v>
      </c>
      <c r="AE47" s="74">
        <f t="shared" si="1"/>
        <v>12</v>
      </c>
      <c r="AF47" s="53">
        <f t="shared" si="2"/>
        <v>11115</v>
      </c>
      <c r="AH47" s="58">
        <f t="shared" ref="AH47:AI62" si="30">+AH46+1</f>
        <v>19</v>
      </c>
      <c r="AI47" s="17">
        <f t="shared" si="30"/>
        <v>83</v>
      </c>
      <c r="AJ47" s="40">
        <f t="shared" si="23"/>
        <v>109301.01976130901</v>
      </c>
      <c r="AK47" s="51">
        <f t="shared" si="28"/>
        <v>14917.241820281928</v>
      </c>
      <c r="AL47" s="134">
        <f t="shared" si="24"/>
        <v>4719.1888970513546</v>
      </c>
      <c r="AM47" s="135">
        <f t="shared" si="25"/>
        <v>99102.966838078442</v>
      </c>
    </row>
    <row r="48" spans="1:39" ht="15.75" thickBot="1">
      <c r="A48" s="14"/>
      <c r="B48" s="97">
        <f t="shared" si="29"/>
        <v>2000</v>
      </c>
      <c r="C48" s="88">
        <f t="shared" si="29"/>
        <v>38</v>
      </c>
      <c r="D48" s="89">
        <f t="shared" si="4"/>
        <v>1.3269507453695104</v>
      </c>
      <c r="E48" s="90">
        <f t="shared" si="5"/>
        <v>931.5</v>
      </c>
      <c r="F48" s="84">
        <v>12</v>
      </c>
      <c r="G48" s="121">
        <v>11178</v>
      </c>
      <c r="I48" s="97">
        <f t="shared" si="0"/>
        <v>2000</v>
      </c>
      <c r="J48" s="88">
        <f t="shared" si="6"/>
        <v>39</v>
      </c>
      <c r="K48" s="88">
        <f t="shared" si="7"/>
        <v>1</v>
      </c>
      <c r="L48" s="107">
        <f t="shared" si="26"/>
        <v>0.15</v>
      </c>
      <c r="M48" s="108">
        <f t="shared" si="8"/>
        <v>11178</v>
      </c>
      <c r="N48" s="88">
        <f t="shared" si="9"/>
        <v>19296.202919988649</v>
      </c>
      <c r="O48" s="88">
        <f t="shared" si="10"/>
        <v>1676.7</v>
      </c>
      <c r="P48" s="88">
        <f t="shared" si="11"/>
        <v>771.84811679954601</v>
      </c>
      <c r="Q48" s="99">
        <f t="shared" si="12"/>
        <v>21744.751036788195</v>
      </c>
      <c r="S48" s="58">
        <f t="shared" si="13"/>
        <v>2000</v>
      </c>
      <c r="T48" s="52">
        <f t="shared" si="13"/>
        <v>39</v>
      </c>
      <c r="U48" s="52">
        <f t="shared" si="14"/>
        <v>0</v>
      </c>
      <c r="V48" s="54">
        <f t="shared" si="15"/>
        <v>0</v>
      </c>
      <c r="W48" s="54">
        <f t="shared" si="16"/>
        <v>0</v>
      </c>
      <c r="X48" s="52">
        <f t="shared" si="17"/>
        <v>0</v>
      </c>
      <c r="Y48" s="48">
        <f t="shared" si="18"/>
        <v>0</v>
      </c>
      <c r="Z48" s="52">
        <f t="shared" si="19"/>
        <v>0</v>
      </c>
      <c r="AA48" s="53">
        <f t="shared" si="20"/>
        <v>0</v>
      </c>
      <c r="AB48" s="52"/>
      <c r="AC48" s="58">
        <f t="shared" si="21"/>
        <v>2000</v>
      </c>
      <c r="AD48" s="74">
        <f t="shared" si="22"/>
        <v>38</v>
      </c>
      <c r="AE48" s="74">
        <f t="shared" si="1"/>
        <v>12</v>
      </c>
      <c r="AF48" s="53">
        <f t="shared" si="2"/>
        <v>11178</v>
      </c>
      <c r="AH48" s="58">
        <f t="shared" si="30"/>
        <v>20</v>
      </c>
      <c r="AI48" s="17">
        <f t="shared" si="30"/>
        <v>84</v>
      </c>
      <c r="AJ48" s="40">
        <f t="shared" si="23"/>
        <v>99102.966838078442</v>
      </c>
      <c r="AK48" s="51">
        <f t="shared" si="28"/>
        <v>14917.241820281928</v>
      </c>
      <c r="AL48" s="134">
        <f t="shared" si="24"/>
        <v>4209.2862508898261</v>
      </c>
      <c r="AM48" s="135">
        <f t="shared" si="25"/>
        <v>88395.011268686343</v>
      </c>
    </row>
    <row r="49" spans="1:39" ht="15.75" thickBot="1">
      <c r="A49" s="14"/>
      <c r="B49" s="97">
        <f t="shared" si="29"/>
        <v>2001</v>
      </c>
      <c r="C49" s="88">
        <f t="shared" si="29"/>
        <v>39</v>
      </c>
      <c r="D49" s="89">
        <f t="shared" si="4"/>
        <v>1.3468550065500529</v>
      </c>
      <c r="E49" s="90">
        <f t="shared" si="5"/>
        <v>1014</v>
      </c>
      <c r="F49" s="84">
        <v>12</v>
      </c>
      <c r="G49" s="121">
        <v>12168</v>
      </c>
      <c r="I49" s="97">
        <f t="shared" si="0"/>
        <v>2001</v>
      </c>
      <c r="J49" s="88">
        <f t="shared" si="6"/>
        <v>40</v>
      </c>
      <c r="K49" s="88">
        <f t="shared" si="7"/>
        <v>1</v>
      </c>
      <c r="L49" s="107">
        <f t="shared" si="26"/>
        <v>0.15</v>
      </c>
      <c r="M49" s="108">
        <f t="shared" si="8"/>
        <v>12168</v>
      </c>
      <c r="N49" s="88">
        <f t="shared" si="9"/>
        <v>21744.751036788195</v>
      </c>
      <c r="O49" s="88">
        <f t="shared" si="10"/>
        <v>1825.2</v>
      </c>
      <c r="P49" s="88">
        <f t="shared" si="11"/>
        <v>869.79004147152784</v>
      </c>
      <c r="Q49" s="99">
        <f t="shared" si="12"/>
        <v>24439.741078259725</v>
      </c>
      <c r="S49" s="58">
        <f t="shared" si="13"/>
        <v>2001</v>
      </c>
      <c r="T49" s="52">
        <f t="shared" si="13"/>
        <v>40</v>
      </c>
      <c r="U49" s="52">
        <f t="shared" si="14"/>
        <v>0</v>
      </c>
      <c r="V49" s="54">
        <f t="shared" si="15"/>
        <v>0</v>
      </c>
      <c r="W49" s="54">
        <f t="shared" si="16"/>
        <v>0</v>
      </c>
      <c r="X49" s="52">
        <f t="shared" si="17"/>
        <v>0</v>
      </c>
      <c r="Y49" s="48">
        <f t="shared" si="18"/>
        <v>0</v>
      </c>
      <c r="Z49" s="52">
        <f t="shared" si="19"/>
        <v>0</v>
      </c>
      <c r="AA49" s="53">
        <f t="shared" si="20"/>
        <v>0</v>
      </c>
      <c r="AB49" s="52"/>
      <c r="AC49" s="58">
        <f t="shared" si="21"/>
        <v>2001</v>
      </c>
      <c r="AD49" s="74">
        <f t="shared" si="22"/>
        <v>39</v>
      </c>
      <c r="AE49" s="74">
        <f t="shared" si="1"/>
        <v>12</v>
      </c>
      <c r="AF49" s="53">
        <f t="shared" si="2"/>
        <v>12168</v>
      </c>
      <c r="AH49" s="58">
        <f t="shared" si="30"/>
        <v>21</v>
      </c>
      <c r="AI49" s="17">
        <f t="shared" si="30"/>
        <v>85</v>
      </c>
      <c r="AJ49" s="40">
        <f t="shared" si="23"/>
        <v>88395.011268686343</v>
      </c>
      <c r="AK49" s="51">
        <f t="shared" si="28"/>
        <v>14917.241820281928</v>
      </c>
      <c r="AL49" s="134">
        <f t="shared" si="24"/>
        <v>3673.8884724202212</v>
      </c>
      <c r="AM49" s="135">
        <f t="shared" si="25"/>
        <v>77151.65792082464</v>
      </c>
    </row>
    <row r="50" spans="1:39" ht="15.75" thickBot="1">
      <c r="A50" s="14"/>
      <c r="B50" s="97">
        <f t="shared" si="29"/>
        <v>2002</v>
      </c>
      <c r="C50" s="88">
        <f t="shared" si="29"/>
        <v>40</v>
      </c>
      <c r="D50" s="89">
        <f t="shared" si="4"/>
        <v>1.3670578316483035</v>
      </c>
      <c r="E50" s="90">
        <f t="shared" si="5"/>
        <v>1135.5</v>
      </c>
      <c r="F50" s="84">
        <v>12</v>
      </c>
      <c r="G50" s="121">
        <v>13626</v>
      </c>
      <c r="I50" s="97">
        <f t="shared" si="0"/>
        <v>2002</v>
      </c>
      <c r="J50" s="88">
        <f t="shared" si="6"/>
        <v>41</v>
      </c>
      <c r="K50" s="88">
        <f t="shared" si="7"/>
        <v>1</v>
      </c>
      <c r="L50" s="107">
        <f t="shared" si="26"/>
        <v>0.15</v>
      </c>
      <c r="M50" s="108">
        <f t="shared" si="8"/>
        <v>13626</v>
      </c>
      <c r="N50" s="88">
        <f t="shared" si="9"/>
        <v>24439.741078259725</v>
      </c>
      <c r="O50" s="88">
        <f t="shared" si="10"/>
        <v>2043.8999999999999</v>
      </c>
      <c r="P50" s="88">
        <f t="shared" si="11"/>
        <v>977.58964313038905</v>
      </c>
      <c r="Q50" s="99">
        <f t="shared" si="12"/>
        <v>27461.230721390115</v>
      </c>
      <c r="S50" s="58">
        <f t="shared" si="13"/>
        <v>2002</v>
      </c>
      <c r="T50" s="52">
        <f t="shared" si="13"/>
        <v>41</v>
      </c>
      <c r="U50" s="52">
        <f t="shared" si="14"/>
        <v>0</v>
      </c>
      <c r="V50" s="54">
        <f t="shared" si="15"/>
        <v>0</v>
      </c>
      <c r="W50" s="54">
        <f t="shared" si="16"/>
        <v>0</v>
      </c>
      <c r="X50" s="52">
        <f t="shared" si="17"/>
        <v>0</v>
      </c>
      <c r="Y50" s="48">
        <f t="shared" si="18"/>
        <v>0</v>
      </c>
      <c r="Z50" s="52">
        <f t="shared" si="19"/>
        <v>0</v>
      </c>
      <c r="AA50" s="53">
        <f t="shared" si="20"/>
        <v>0</v>
      </c>
      <c r="AB50" s="52"/>
      <c r="AC50" s="58">
        <f t="shared" si="21"/>
        <v>2002</v>
      </c>
      <c r="AD50" s="74">
        <f t="shared" si="22"/>
        <v>40</v>
      </c>
      <c r="AE50" s="74">
        <f t="shared" si="1"/>
        <v>12</v>
      </c>
      <c r="AF50" s="53">
        <f t="shared" si="2"/>
        <v>13626</v>
      </c>
      <c r="AH50" s="58">
        <f t="shared" si="30"/>
        <v>22</v>
      </c>
      <c r="AI50" s="17">
        <f t="shared" si="30"/>
        <v>86</v>
      </c>
      <c r="AJ50" s="40">
        <f t="shared" si="23"/>
        <v>77151.65792082464</v>
      </c>
      <c r="AK50" s="51">
        <f t="shared" si="28"/>
        <v>14917.241820281928</v>
      </c>
      <c r="AL50" s="134">
        <f t="shared" si="24"/>
        <v>3111.7208050271361</v>
      </c>
      <c r="AM50" s="135">
        <f t="shared" si="25"/>
        <v>65346.136905569852</v>
      </c>
    </row>
    <row r="51" spans="1:39" ht="15.75" thickBot="1">
      <c r="A51" s="14"/>
      <c r="B51" s="97">
        <f t="shared" si="29"/>
        <v>2003</v>
      </c>
      <c r="C51" s="88">
        <f t="shared" si="29"/>
        <v>41</v>
      </c>
      <c r="D51" s="89">
        <f t="shared" si="4"/>
        <v>1.387563699123028</v>
      </c>
      <c r="E51" s="90">
        <f t="shared" si="5"/>
        <v>1451.5</v>
      </c>
      <c r="F51" s="84">
        <v>12</v>
      </c>
      <c r="G51" s="121">
        <v>17418</v>
      </c>
      <c r="I51" s="97">
        <f t="shared" si="0"/>
        <v>2003</v>
      </c>
      <c r="J51" s="88">
        <f t="shared" si="6"/>
        <v>42</v>
      </c>
      <c r="K51" s="88">
        <f t="shared" si="7"/>
        <v>1</v>
      </c>
      <c r="L51" s="107">
        <f t="shared" si="26"/>
        <v>0.15</v>
      </c>
      <c r="M51" s="108">
        <f t="shared" si="8"/>
        <v>17418</v>
      </c>
      <c r="N51" s="88">
        <f t="shared" si="9"/>
        <v>27461.230721390115</v>
      </c>
      <c r="O51" s="88">
        <f t="shared" si="10"/>
        <v>2612.6999999999998</v>
      </c>
      <c r="P51" s="88">
        <f t="shared" si="11"/>
        <v>1098.4492288556046</v>
      </c>
      <c r="Q51" s="99">
        <f t="shared" si="12"/>
        <v>31172.379950245719</v>
      </c>
      <c r="S51" s="58">
        <f t="shared" si="13"/>
        <v>2003</v>
      </c>
      <c r="T51" s="52">
        <f t="shared" si="13"/>
        <v>42</v>
      </c>
      <c r="U51" s="52">
        <f t="shared" si="14"/>
        <v>0</v>
      </c>
      <c r="V51" s="54">
        <f t="shared" si="15"/>
        <v>0</v>
      </c>
      <c r="W51" s="54">
        <f t="shared" si="16"/>
        <v>0</v>
      </c>
      <c r="X51" s="52">
        <f t="shared" si="17"/>
        <v>0</v>
      </c>
      <c r="Y51" s="48">
        <f t="shared" si="18"/>
        <v>0</v>
      </c>
      <c r="Z51" s="52">
        <f t="shared" si="19"/>
        <v>0</v>
      </c>
      <c r="AA51" s="53">
        <f t="shared" si="20"/>
        <v>0</v>
      </c>
      <c r="AB51" s="52"/>
      <c r="AC51" s="58">
        <f t="shared" si="21"/>
        <v>2003</v>
      </c>
      <c r="AD51" s="74">
        <f t="shared" si="22"/>
        <v>41</v>
      </c>
      <c r="AE51" s="74">
        <f t="shared" si="1"/>
        <v>12</v>
      </c>
      <c r="AF51" s="53">
        <f t="shared" si="2"/>
        <v>17418</v>
      </c>
      <c r="AH51" s="58">
        <f t="shared" si="30"/>
        <v>23</v>
      </c>
      <c r="AI51" s="17">
        <f t="shared" si="30"/>
        <v>87</v>
      </c>
      <c r="AJ51" s="40">
        <f t="shared" si="23"/>
        <v>65346.136905569852</v>
      </c>
      <c r="AK51" s="51">
        <f t="shared" si="28"/>
        <v>14917.241820281928</v>
      </c>
      <c r="AL51" s="134">
        <f t="shared" si="24"/>
        <v>2521.4447542643961</v>
      </c>
      <c r="AM51" s="135">
        <f t="shared" si="25"/>
        <v>52950.339839552318</v>
      </c>
    </row>
    <row r="52" spans="1:39" ht="15.75" thickBot="1">
      <c r="A52" s="14"/>
      <c r="B52" s="97">
        <f t="shared" si="29"/>
        <v>2004</v>
      </c>
      <c r="C52" s="88">
        <f t="shared" si="29"/>
        <v>42</v>
      </c>
      <c r="D52" s="89">
        <f t="shared" si="4"/>
        <v>1.4083771546098733</v>
      </c>
      <c r="E52" s="90">
        <f t="shared" si="5"/>
        <v>1607.5</v>
      </c>
      <c r="F52" s="84">
        <v>12</v>
      </c>
      <c r="G52" s="121">
        <v>19290</v>
      </c>
      <c r="I52" s="97">
        <f t="shared" si="0"/>
        <v>2004</v>
      </c>
      <c r="J52" s="88">
        <f t="shared" si="6"/>
        <v>43</v>
      </c>
      <c r="K52" s="88">
        <f t="shared" si="7"/>
        <v>1</v>
      </c>
      <c r="L52" s="107">
        <f t="shared" si="26"/>
        <v>0.15</v>
      </c>
      <c r="M52" s="108">
        <f t="shared" si="8"/>
        <v>19290</v>
      </c>
      <c r="N52" s="88">
        <f t="shared" si="9"/>
        <v>31172.379950245719</v>
      </c>
      <c r="O52" s="88">
        <f t="shared" si="10"/>
        <v>2893.5</v>
      </c>
      <c r="P52" s="88">
        <f t="shared" si="11"/>
        <v>1246.8951980098288</v>
      </c>
      <c r="Q52" s="99">
        <f t="shared" si="12"/>
        <v>35312.775148255547</v>
      </c>
      <c r="S52" s="58">
        <f t="shared" si="13"/>
        <v>2004</v>
      </c>
      <c r="T52" s="52">
        <f t="shared" si="13"/>
        <v>43</v>
      </c>
      <c r="U52" s="52">
        <f t="shared" si="14"/>
        <v>0</v>
      </c>
      <c r="V52" s="54">
        <f t="shared" si="15"/>
        <v>0</v>
      </c>
      <c r="W52" s="54">
        <f t="shared" si="16"/>
        <v>0</v>
      </c>
      <c r="X52" s="52">
        <f t="shared" si="17"/>
        <v>0</v>
      </c>
      <c r="Y52" s="48">
        <f t="shared" si="18"/>
        <v>0</v>
      </c>
      <c r="Z52" s="52">
        <f t="shared" si="19"/>
        <v>0</v>
      </c>
      <c r="AA52" s="53">
        <f t="shared" si="20"/>
        <v>0</v>
      </c>
      <c r="AB52" s="52"/>
      <c r="AC52" s="58">
        <f t="shared" si="21"/>
        <v>2004</v>
      </c>
      <c r="AD52" s="74">
        <f t="shared" si="22"/>
        <v>42</v>
      </c>
      <c r="AE52" s="74">
        <f t="shared" si="1"/>
        <v>12</v>
      </c>
      <c r="AF52" s="53">
        <f t="shared" si="2"/>
        <v>19290</v>
      </c>
      <c r="AH52" s="58">
        <f t="shared" si="30"/>
        <v>24</v>
      </c>
      <c r="AI52" s="17">
        <f t="shared" si="30"/>
        <v>88</v>
      </c>
      <c r="AJ52" s="40">
        <f t="shared" si="23"/>
        <v>52950.339839552318</v>
      </c>
      <c r="AK52" s="51">
        <f t="shared" si="28"/>
        <v>14917.241820281928</v>
      </c>
      <c r="AL52" s="134">
        <f t="shared" si="24"/>
        <v>1901.6549009635194</v>
      </c>
      <c r="AM52" s="135">
        <f t="shared" si="25"/>
        <v>39934.752920233906</v>
      </c>
    </row>
    <row r="53" spans="1:39" ht="15.75" thickBot="1">
      <c r="A53" s="14"/>
      <c r="B53" s="97">
        <f t="shared" si="29"/>
        <v>2005</v>
      </c>
      <c r="C53" s="88">
        <f t="shared" si="29"/>
        <v>43</v>
      </c>
      <c r="D53" s="89">
        <f t="shared" si="4"/>
        <v>1.4295028119290214</v>
      </c>
      <c r="E53" s="90">
        <f t="shared" si="5"/>
        <v>1637.5</v>
      </c>
      <c r="F53" s="84">
        <v>12</v>
      </c>
      <c r="G53" s="121">
        <v>19650</v>
      </c>
      <c r="I53" s="97">
        <f t="shared" si="0"/>
        <v>2005</v>
      </c>
      <c r="J53" s="88">
        <f t="shared" si="6"/>
        <v>44</v>
      </c>
      <c r="K53" s="88">
        <f t="shared" si="7"/>
        <v>1</v>
      </c>
      <c r="L53" s="107">
        <f t="shared" si="26"/>
        <v>0.15</v>
      </c>
      <c r="M53" s="108">
        <f t="shared" si="8"/>
        <v>19650</v>
      </c>
      <c r="N53" s="88">
        <f t="shared" si="9"/>
        <v>35312.775148255547</v>
      </c>
      <c r="O53" s="88">
        <f t="shared" si="10"/>
        <v>2947.5</v>
      </c>
      <c r="P53" s="88">
        <f t="shared" si="11"/>
        <v>1412.5110059302219</v>
      </c>
      <c r="Q53" s="99">
        <f t="shared" si="12"/>
        <v>39672.786154185771</v>
      </c>
      <c r="S53" s="58">
        <f t="shared" si="13"/>
        <v>2005</v>
      </c>
      <c r="T53" s="52">
        <f t="shared" si="13"/>
        <v>44</v>
      </c>
      <c r="U53" s="52">
        <f t="shared" si="14"/>
        <v>0</v>
      </c>
      <c r="V53" s="54">
        <f t="shared" si="15"/>
        <v>0</v>
      </c>
      <c r="W53" s="54">
        <f t="shared" si="16"/>
        <v>0</v>
      </c>
      <c r="X53" s="52">
        <f t="shared" si="17"/>
        <v>0</v>
      </c>
      <c r="Y53" s="48">
        <f t="shared" si="18"/>
        <v>0</v>
      </c>
      <c r="Z53" s="52">
        <f t="shared" si="19"/>
        <v>0</v>
      </c>
      <c r="AA53" s="53">
        <f t="shared" si="20"/>
        <v>0</v>
      </c>
      <c r="AB53" s="52"/>
      <c r="AC53" s="58">
        <f t="shared" si="21"/>
        <v>2005</v>
      </c>
      <c r="AD53" s="74">
        <f t="shared" si="22"/>
        <v>43</v>
      </c>
      <c r="AE53" s="74">
        <f t="shared" si="1"/>
        <v>12</v>
      </c>
      <c r="AF53" s="53">
        <f t="shared" si="2"/>
        <v>19650</v>
      </c>
      <c r="AH53" s="58">
        <f t="shared" si="30"/>
        <v>25</v>
      </c>
      <c r="AI53" s="17">
        <f t="shared" si="30"/>
        <v>89</v>
      </c>
      <c r="AJ53" s="40">
        <f t="shared" si="23"/>
        <v>39934.752920233906</v>
      </c>
      <c r="AK53" s="51">
        <f t="shared" si="28"/>
        <v>14917.241820281928</v>
      </c>
      <c r="AL53" s="134">
        <f t="shared" si="24"/>
        <v>1250.875554997599</v>
      </c>
      <c r="AM53" s="135">
        <f t="shared" si="25"/>
        <v>26268.386654949576</v>
      </c>
    </row>
    <row r="54" spans="1:39" ht="15.75" thickBot="1">
      <c r="A54" s="14"/>
      <c r="B54" s="97">
        <f t="shared" si="29"/>
        <v>2006</v>
      </c>
      <c r="C54" s="88">
        <f t="shared" si="29"/>
        <v>44</v>
      </c>
      <c r="D54" s="89">
        <f t="shared" si="4"/>
        <v>1.4509453541079567</v>
      </c>
      <c r="E54" s="120">
        <f>+D54*E53/D53</f>
        <v>1662.0625</v>
      </c>
      <c r="F54" s="84">
        <v>12</v>
      </c>
      <c r="G54" s="121">
        <v>21245</v>
      </c>
      <c r="I54" s="97">
        <f t="shared" si="0"/>
        <v>2006</v>
      </c>
      <c r="J54" s="88">
        <f t="shared" si="6"/>
        <v>45</v>
      </c>
      <c r="K54" s="88">
        <f t="shared" si="7"/>
        <v>1</v>
      </c>
      <c r="L54" s="107">
        <f t="shared" si="26"/>
        <v>0.15</v>
      </c>
      <c r="M54" s="108">
        <f t="shared" si="8"/>
        <v>21245</v>
      </c>
      <c r="N54" s="88">
        <f t="shared" si="9"/>
        <v>39672.786154185771</v>
      </c>
      <c r="O54" s="88">
        <f t="shared" si="10"/>
        <v>3186.75</v>
      </c>
      <c r="P54" s="88">
        <f t="shared" si="11"/>
        <v>1586.9114461674308</v>
      </c>
      <c r="Q54" s="99">
        <f t="shared" si="12"/>
        <v>44446.447600353204</v>
      </c>
      <c r="S54" s="58">
        <f t="shared" si="13"/>
        <v>2006</v>
      </c>
      <c r="T54" s="52">
        <f t="shared" si="13"/>
        <v>45</v>
      </c>
      <c r="U54" s="52">
        <f t="shared" si="14"/>
        <v>0</v>
      </c>
      <c r="V54" s="54">
        <f t="shared" si="15"/>
        <v>0</v>
      </c>
      <c r="W54" s="54">
        <f t="shared" si="16"/>
        <v>0</v>
      </c>
      <c r="X54" s="52">
        <f t="shared" si="17"/>
        <v>0</v>
      </c>
      <c r="Y54" s="48">
        <f t="shared" si="18"/>
        <v>0</v>
      </c>
      <c r="Z54" s="52">
        <f t="shared" si="19"/>
        <v>0</v>
      </c>
      <c r="AA54" s="53">
        <f t="shared" si="20"/>
        <v>0</v>
      </c>
      <c r="AB54" s="52"/>
      <c r="AC54" s="58">
        <f t="shared" si="21"/>
        <v>2006</v>
      </c>
      <c r="AD54" s="74">
        <f t="shared" si="22"/>
        <v>44</v>
      </c>
      <c r="AE54" s="74">
        <f t="shared" si="1"/>
        <v>12</v>
      </c>
      <c r="AF54" s="53">
        <f t="shared" si="2"/>
        <v>21245</v>
      </c>
      <c r="AH54" s="58">
        <f t="shared" si="30"/>
        <v>26</v>
      </c>
      <c r="AI54" s="17">
        <f t="shared" si="30"/>
        <v>90</v>
      </c>
      <c r="AJ54" s="40">
        <f t="shared" si="23"/>
        <v>26268.386654949576</v>
      </c>
      <c r="AK54" s="51">
        <f t="shared" si="28"/>
        <v>14917.241820281928</v>
      </c>
      <c r="AL54" s="134">
        <f t="shared" si="24"/>
        <v>567.5572417333824</v>
      </c>
      <c r="AM54" s="135">
        <f t="shared" si="25"/>
        <v>11918.70207640103</v>
      </c>
    </row>
    <row r="55" spans="1:39" ht="15.75" thickBot="1">
      <c r="A55" s="14"/>
      <c r="B55" s="97">
        <f t="shared" si="29"/>
        <v>2007</v>
      </c>
      <c r="C55" s="88">
        <f t="shared" si="29"/>
        <v>45</v>
      </c>
      <c r="D55" s="89">
        <f t="shared" si="4"/>
        <v>1.472709534419576</v>
      </c>
      <c r="E55" s="120">
        <f>+G55/12</f>
        <v>2567</v>
      </c>
      <c r="F55" s="84">
        <v>12</v>
      </c>
      <c r="G55" s="121">
        <v>30804</v>
      </c>
      <c r="I55" s="97">
        <f t="shared" si="0"/>
        <v>2007</v>
      </c>
      <c r="J55" s="88">
        <f t="shared" si="6"/>
        <v>46</v>
      </c>
      <c r="K55" s="88">
        <f t="shared" si="7"/>
        <v>1</v>
      </c>
      <c r="L55" s="107">
        <f t="shared" si="26"/>
        <v>0.15</v>
      </c>
      <c r="M55" s="108">
        <f t="shared" si="8"/>
        <v>30000</v>
      </c>
      <c r="N55" s="88">
        <f t="shared" si="9"/>
        <v>44446.447600353204</v>
      </c>
      <c r="O55" s="88">
        <f t="shared" si="10"/>
        <v>4500</v>
      </c>
      <c r="P55" s="88">
        <f t="shared" si="11"/>
        <v>1777.8579040141283</v>
      </c>
      <c r="Q55" s="99">
        <f t="shared" si="12"/>
        <v>50724.30550436733</v>
      </c>
      <c r="S55" s="58">
        <f t="shared" si="13"/>
        <v>2007</v>
      </c>
      <c r="T55" s="52">
        <f t="shared" si="13"/>
        <v>46</v>
      </c>
      <c r="U55" s="52">
        <f t="shared" si="14"/>
        <v>0</v>
      </c>
      <c r="V55" s="54">
        <f t="shared" si="15"/>
        <v>0</v>
      </c>
      <c r="W55" s="54">
        <f t="shared" si="16"/>
        <v>0</v>
      </c>
      <c r="X55" s="52">
        <f t="shared" si="17"/>
        <v>0</v>
      </c>
      <c r="Y55" s="48">
        <f t="shared" si="18"/>
        <v>0</v>
      </c>
      <c r="Z55" s="52">
        <f t="shared" si="19"/>
        <v>0</v>
      </c>
      <c r="AA55" s="53">
        <f t="shared" si="20"/>
        <v>0</v>
      </c>
      <c r="AB55" s="52"/>
      <c r="AC55" s="58">
        <f t="shared" si="21"/>
        <v>2007</v>
      </c>
      <c r="AD55" s="74">
        <f t="shared" si="22"/>
        <v>45</v>
      </c>
      <c r="AE55" s="74">
        <f t="shared" si="1"/>
        <v>12</v>
      </c>
      <c r="AF55" s="53">
        <f t="shared" si="2"/>
        <v>30000</v>
      </c>
      <c r="AH55" s="124">
        <f t="shared" si="30"/>
        <v>27</v>
      </c>
      <c r="AI55" s="17">
        <f t="shared" si="30"/>
        <v>91</v>
      </c>
      <c r="AJ55" s="40">
        <f t="shared" si="23"/>
        <v>11918.70207640103</v>
      </c>
      <c r="AK55" s="51">
        <f t="shared" si="28"/>
        <v>14917.241820281928</v>
      </c>
      <c r="AL55" s="134">
        <f t="shared" si="24"/>
        <v>-149.9269871940449</v>
      </c>
      <c r="AM55" s="135">
        <f t="shared" si="25"/>
        <v>-3148.4667310749428</v>
      </c>
    </row>
    <row r="56" spans="1:39" ht="15.75" thickBot="1">
      <c r="A56" s="14"/>
      <c r="B56" s="97">
        <f t="shared" si="29"/>
        <v>2008</v>
      </c>
      <c r="C56" s="88">
        <f t="shared" si="29"/>
        <v>46</v>
      </c>
      <c r="D56" s="89">
        <f t="shared" si="4"/>
        <v>1.4948001774358695</v>
      </c>
      <c r="E56" s="120">
        <f t="shared" ref="E56:E71" si="31">+G56/12</f>
        <v>2327</v>
      </c>
      <c r="F56" s="84">
        <v>12</v>
      </c>
      <c r="G56" s="121">
        <v>27924</v>
      </c>
      <c r="I56" s="97">
        <f t="shared" si="0"/>
        <v>2008</v>
      </c>
      <c r="J56" s="88">
        <f t="shared" si="6"/>
        <v>47</v>
      </c>
      <c r="K56" s="88">
        <f t="shared" si="7"/>
        <v>1</v>
      </c>
      <c r="L56" s="107">
        <f t="shared" si="26"/>
        <v>0.15</v>
      </c>
      <c r="M56" s="108">
        <f t="shared" si="8"/>
        <v>27924</v>
      </c>
      <c r="N56" s="88">
        <f t="shared" si="9"/>
        <v>50724.30550436733</v>
      </c>
      <c r="O56" s="88">
        <f t="shared" si="10"/>
        <v>4188.5999999999995</v>
      </c>
      <c r="P56" s="88">
        <f t="shared" si="11"/>
        <v>2028.9722201746933</v>
      </c>
      <c r="Q56" s="99">
        <f t="shared" si="12"/>
        <v>56941.877724542021</v>
      </c>
      <c r="S56" s="58">
        <f t="shared" si="13"/>
        <v>2008</v>
      </c>
      <c r="T56" s="52">
        <f t="shared" si="13"/>
        <v>47</v>
      </c>
      <c r="U56" s="52">
        <f t="shared" si="14"/>
        <v>0</v>
      </c>
      <c r="V56" s="54">
        <f t="shared" si="15"/>
        <v>0</v>
      </c>
      <c r="W56" s="54">
        <f t="shared" si="16"/>
        <v>0</v>
      </c>
      <c r="X56" s="52">
        <f t="shared" si="17"/>
        <v>0</v>
      </c>
      <c r="Y56" s="48">
        <f t="shared" si="18"/>
        <v>0</v>
      </c>
      <c r="Z56" s="52">
        <f t="shared" si="19"/>
        <v>0</v>
      </c>
      <c r="AA56" s="53">
        <f t="shared" si="20"/>
        <v>0</v>
      </c>
      <c r="AB56" s="52"/>
      <c r="AC56" s="58">
        <f t="shared" si="21"/>
        <v>2008</v>
      </c>
      <c r="AD56" s="74">
        <f t="shared" si="22"/>
        <v>46</v>
      </c>
      <c r="AE56" s="74">
        <f t="shared" si="1"/>
        <v>12</v>
      </c>
      <c r="AF56" s="53">
        <f t="shared" si="2"/>
        <v>27924</v>
      </c>
      <c r="AH56" s="58">
        <f t="shared" si="30"/>
        <v>28</v>
      </c>
      <c r="AI56" s="17">
        <f t="shared" si="30"/>
        <v>92</v>
      </c>
      <c r="AJ56" s="40">
        <f t="shared" si="23"/>
        <v>-3148.4667310749428</v>
      </c>
      <c r="AK56" s="51">
        <f t="shared" si="28"/>
        <v>14917.241820281928</v>
      </c>
      <c r="AL56" s="134">
        <f t="shared" si="24"/>
        <v>-903.28542756784361</v>
      </c>
      <c r="AM56" s="135">
        <f t="shared" si="25"/>
        <v>-18968.993978924715</v>
      </c>
    </row>
    <row r="57" spans="1:39" ht="15.75" thickBot="1">
      <c r="A57" s="14"/>
      <c r="B57" s="97">
        <f t="shared" si="29"/>
        <v>2009</v>
      </c>
      <c r="C57" s="88">
        <f t="shared" si="29"/>
        <v>47</v>
      </c>
      <c r="D57" s="89">
        <f t="shared" si="4"/>
        <v>1.5172221800974073</v>
      </c>
      <c r="E57" s="120">
        <f t="shared" si="31"/>
        <v>2124.5</v>
      </c>
      <c r="F57" s="84">
        <v>12</v>
      </c>
      <c r="G57" s="121">
        <v>25494</v>
      </c>
      <c r="I57" s="97">
        <f t="shared" si="0"/>
        <v>2009</v>
      </c>
      <c r="J57" s="88">
        <f t="shared" si="6"/>
        <v>48</v>
      </c>
      <c r="K57" s="88">
        <f t="shared" si="7"/>
        <v>1</v>
      </c>
      <c r="L57" s="107">
        <f t="shared" si="26"/>
        <v>0.15</v>
      </c>
      <c r="M57" s="108">
        <f>+IF($B$2=1,IF(G57&lt;=2500*12,G57,2500*12),G57)</f>
        <v>25494</v>
      </c>
      <c r="N57" s="88">
        <f t="shared" si="9"/>
        <v>56941.877724542021</v>
      </c>
      <c r="O57" s="88">
        <f t="shared" si="10"/>
        <v>3824.1</v>
      </c>
      <c r="P57" s="88">
        <f t="shared" si="11"/>
        <v>2277.6751089816808</v>
      </c>
      <c r="Q57" s="99">
        <f t="shared" si="12"/>
        <v>63043.652833523702</v>
      </c>
      <c r="S57" s="58">
        <f t="shared" si="13"/>
        <v>2009</v>
      </c>
      <c r="T57" s="52">
        <f t="shared" si="13"/>
        <v>48</v>
      </c>
      <c r="U57" s="52">
        <f t="shared" si="14"/>
        <v>0</v>
      </c>
      <c r="V57" s="54">
        <f t="shared" si="15"/>
        <v>0</v>
      </c>
      <c r="W57" s="54">
        <f t="shared" si="16"/>
        <v>0</v>
      </c>
      <c r="X57" s="52">
        <f t="shared" si="17"/>
        <v>0</v>
      </c>
      <c r="Y57" s="48">
        <f>+(G57*V57)*U57</f>
        <v>0</v>
      </c>
      <c r="Z57" s="52">
        <f t="shared" si="19"/>
        <v>0</v>
      </c>
      <c r="AA57" s="53">
        <f t="shared" si="20"/>
        <v>0</v>
      </c>
      <c r="AB57" s="52"/>
      <c r="AC57" s="58">
        <f t="shared" si="21"/>
        <v>2009</v>
      </c>
      <c r="AD57" s="74">
        <f t="shared" si="22"/>
        <v>47</v>
      </c>
      <c r="AE57" s="74">
        <f t="shared" si="1"/>
        <v>12</v>
      </c>
      <c r="AF57" s="53">
        <f t="shared" si="2"/>
        <v>25494</v>
      </c>
      <c r="AH57" s="58">
        <f t="shared" si="30"/>
        <v>29</v>
      </c>
      <c r="AI57" s="17">
        <f t="shared" si="30"/>
        <v>93</v>
      </c>
      <c r="AJ57" s="40">
        <f t="shared" si="23"/>
        <v>-18968.993978924715</v>
      </c>
      <c r="AK57" s="51">
        <f t="shared" si="28"/>
        <v>14917.241820281928</v>
      </c>
      <c r="AL57" s="134">
        <f t="shared" si="24"/>
        <v>-1694.3117899603321</v>
      </c>
      <c r="AM57" s="135">
        <f t="shared" si="25"/>
        <v>-35580.54758916697</v>
      </c>
    </row>
    <row r="58" spans="1:39" ht="15.75" thickBot="1">
      <c r="A58" s="14"/>
      <c r="B58" s="97">
        <f t="shared" si="29"/>
        <v>2010</v>
      </c>
      <c r="C58" s="88">
        <f t="shared" si="29"/>
        <v>48</v>
      </c>
      <c r="D58" s="89">
        <f t="shared" si="4"/>
        <v>1.5399805127988682</v>
      </c>
      <c r="E58" s="120">
        <f t="shared" si="31"/>
        <v>2398.4166666666665</v>
      </c>
      <c r="F58" s="84">
        <v>12</v>
      </c>
      <c r="G58" s="121">
        <v>28781</v>
      </c>
      <c r="I58" s="97">
        <f t="shared" si="0"/>
        <v>2010</v>
      </c>
      <c r="J58" s="88">
        <f t="shared" si="6"/>
        <v>49</v>
      </c>
      <c r="K58" s="88">
        <f t="shared" si="7"/>
        <v>1</v>
      </c>
      <c r="L58" s="107">
        <f t="shared" si="26"/>
        <v>0.15</v>
      </c>
      <c r="M58" s="108">
        <f t="shared" si="8"/>
        <v>28781</v>
      </c>
      <c r="N58" s="88">
        <f t="shared" si="9"/>
        <v>63043.652833523702</v>
      </c>
      <c r="O58" s="88">
        <f t="shared" si="10"/>
        <v>4317.1499999999996</v>
      </c>
      <c r="P58" s="88">
        <f t="shared" si="11"/>
        <v>2521.7461133409483</v>
      </c>
      <c r="Q58" s="99">
        <f t="shared" si="12"/>
        <v>69882.548946864656</v>
      </c>
      <c r="S58" s="58">
        <f t="shared" si="13"/>
        <v>2010</v>
      </c>
      <c r="T58" s="52">
        <f t="shared" si="13"/>
        <v>49</v>
      </c>
      <c r="U58" s="52">
        <f t="shared" si="14"/>
        <v>0</v>
      </c>
      <c r="V58" s="54">
        <f t="shared" si="15"/>
        <v>0</v>
      </c>
      <c r="W58" s="54">
        <f t="shared" si="16"/>
        <v>0</v>
      </c>
      <c r="X58" s="52">
        <f t="shared" si="17"/>
        <v>0</v>
      </c>
      <c r="Y58" s="48">
        <f t="shared" si="18"/>
        <v>0</v>
      </c>
      <c r="Z58" s="52">
        <f t="shared" si="19"/>
        <v>0</v>
      </c>
      <c r="AA58" s="53">
        <f t="shared" si="20"/>
        <v>0</v>
      </c>
      <c r="AB58" s="52"/>
      <c r="AC58" s="58">
        <f t="shared" si="21"/>
        <v>2010</v>
      </c>
      <c r="AD58" s="74">
        <f t="shared" si="22"/>
        <v>48</v>
      </c>
      <c r="AE58" s="74">
        <f t="shared" si="1"/>
        <v>12</v>
      </c>
      <c r="AF58" s="53">
        <f t="shared" si="2"/>
        <v>28781</v>
      </c>
      <c r="AH58" s="58">
        <f t="shared" si="30"/>
        <v>30</v>
      </c>
      <c r="AI58" s="17">
        <f t="shared" si="30"/>
        <v>94</v>
      </c>
      <c r="AJ58" s="40">
        <f t="shared" si="23"/>
        <v>-35580.54758916697</v>
      </c>
      <c r="AK58" s="51">
        <f t="shared" si="28"/>
        <v>14917.241820281928</v>
      </c>
      <c r="AL58" s="134">
        <f t="shared" si="24"/>
        <v>-2524.8894704724453</v>
      </c>
      <c r="AM58" s="135">
        <f t="shared" si="25"/>
        <v>-53022.678879921346</v>
      </c>
    </row>
    <row r="59" spans="1:39" ht="15.75" thickBot="1">
      <c r="A59" s="14"/>
      <c r="B59" s="97">
        <f t="shared" si="29"/>
        <v>2011</v>
      </c>
      <c r="C59" s="88">
        <f t="shared" si="29"/>
        <v>49</v>
      </c>
      <c r="D59" s="89">
        <f t="shared" si="4"/>
        <v>1.5630802204908509</v>
      </c>
      <c r="E59" s="120">
        <f t="shared" si="31"/>
        <v>2160.5833333333335</v>
      </c>
      <c r="F59" s="84">
        <v>12</v>
      </c>
      <c r="G59" s="121">
        <v>25927</v>
      </c>
      <c r="I59" s="97">
        <f t="shared" si="0"/>
        <v>2011</v>
      </c>
      <c r="J59" s="88">
        <f t="shared" si="6"/>
        <v>50</v>
      </c>
      <c r="K59" s="88">
        <f t="shared" si="7"/>
        <v>1</v>
      </c>
      <c r="L59" s="107">
        <f t="shared" si="26"/>
        <v>0.15</v>
      </c>
      <c r="M59" s="108">
        <f t="shared" si="8"/>
        <v>25927</v>
      </c>
      <c r="N59" s="88">
        <f t="shared" si="9"/>
        <v>69882.548946864656</v>
      </c>
      <c r="O59" s="88">
        <f t="shared" si="10"/>
        <v>3889.0499999999997</v>
      </c>
      <c r="P59" s="88">
        <f t="shared" si="11"/>
        <v>2795.3019578745862</v>
      </c>
      <c r="Q59" s="99">
        <f t="shared" si="12"/>
        <v>76566.900904739246</v>
      </c>
      <c r="S59" s="58">
        <f t="shared" si="13"/>
        <v>2011</v>
      </c>
      <c r="T59" s="52">
        <f t="shared" si="13"/>
        <v>50</v>
      </c>
      <c r="U59" s="52">
        <f t="shared" si="14"/>
        <v>0</v>
      </c>
      <c r="V59" s="54">
        <f t="shared" si="15"/>
        <v>0</v>
      </c>
      <c r="W59" s="54">
        <f t="shared" si="16"/>
        <v>0</v>
      </c>
      <c r="X59" s="52">
        <f t="shared" si="17"/>
        <v>0</v>
      </c>
      <c r="Y59" s="48">
        <f t="shared" si="18"/>
        <v>0</v>
      </c>
      <c r="Z59" s="52">
        <f t="shared" si="19"/>
        <v>0</v>
      </c>
      <c r="AA59" s="53">
        <f t="shared" si="20"/>
        <v>0</v>
      </c>
      <c r="AB59" s="52"/>
      <c r="AC59" s="58">
        <f t="shared" si="21"/>
        <v>2011</v>
      </c>
      <c r="AD59" s="74">
        <f t="shared" si="22"/>
        <v>49</v>
      </c>
      <c r="AE59" s="74">
        <f t="shared" si="1"/>
        <v>12</v>
      </c>
      <c r="AF59" s="53">
        <f t="shared" si="2"/>
        <v>25927</v>
      </c>
      <c r="AH59" s="58">
        <f t="shared" si="30"/>
        <v>31</v>
      </c>
      <c r="AI59" s="17">
        <f t="shared" si="30"/>
        <v>95</v>
      </c>
      <c r="AJ59" s="40">
        <f t="shared" si="23"/>
        <v>-53022.678879921346</v>
      </c>
      <c r="AK59" s="51">
        <f t="shared" si="28"/>
        <v>14917.241820281928</v>
      </c>
      <c r="AL59" s="134">
        <f t="shared" si="24"/>
        <v>-3396.9960350101642</v>
      </c>
      <c r="AM59" s="135">
        <f t="shared" si="25"/>
        <v>-71336.916735213439</v>
      </c>
    </row>
    <row r="60" spans="1:39" ht="17.25" customHeight="1" thickBot="1">
      <c r="A60" s="14"/>
      <c r="B60" s="97">
        <f t="shared" si="29"/>
        <v>2012</v>
      </c>
      <c r="C60" s="88">
        <f t="shared" si="29"/>
        <v>50</v>
      </c>
      <c r="D60" s="89">
        <f t="shared" si="4"/>
        <v>1.5865264237982135</v>
      </c>
      <c r="E60" s="120">
        <f t="shared" si="31"/>
        <v>2317</v>
      </c>
      <c r="F60" s="84">
        <v>12</v>
      </c>
      <c r="G60" s="121">
        <v>27804</v>
      </c>
      <c r="I60" s="97">
        <f t="shared" si="0"/>
        <v>2012</v>
      </c>
      <c r="J60" s="88">
        <f t="shared" si="6"/>
        <v>51</v>
      </c>
      <c r="K60" s="88">
        <f t="shared" si="7"/>
        <v>1</v>
      </c>
      <c r="L60" s="107">
        <f t="shared" si="26"/>
        <v>0.15</v>
      </c>
      <c r="M60" s="108">
        <f t="shared" si="8"/>
        <v>27804</v>
      </c>
      <c r="N60" s="88">
        <f t="shared" si="9"/>
        <v>76566.900904739246</v>
      </c>
      <c r="O60" s="88">
        <f t="shared" si="10"/>
        <v>4170.5999999999995</v>
      </c>
      <c r="P60" s="88">
        <f t="shared" si="11"/>
        <v>3062.6760361895699</v>
      </c>
      <c r="Q60" s="99">
        <f t="shared" si="12"/>
        <v>83800.176940928824</v>
      </c>
      <c r="S60" s="58">
        <f t="shared" si="13"/>
        <v>2012</v>
      </c>
      <c r="T60" s="52">
        <f t="shared" si="13"/>
        <v>51</v>
      </c>
      <c r="U60" s="52">
        <f t="shared" si="14"/>
        <v>0</v>
      </c>
      <c r="V60" s="54">
        <f t="shared" si="15"/>
        <v>0</v>
      </c>
      <c r="W60" s="54">
        <f t="shared" si="16"/>
        <v>0</v>
      </c>
      <c r="X60" s="52">
        <f t="shared" si="17"/>
        <v>0</v>
      </c>
      <c r="Y60" s="48">
        <f t="shared" si="18"/>
        <v>0</v>
      </c>
      <c r="Z60" s="52">
        <f t="shared" si="19"/>
        <v>0</v>
      </c>
      <c r="AA60" s="53">
        <f t="shared" si="20"/>
        <v>0</v>
      </c>
      <c r="AB60" s="52"/>
      <c r="AC60" s="58">
        <f t="shared" si="21"/>
        <v>2012</v>
      </c>
      <c r="AD60" s="74">
        <f t="shared" si="22"/>
        <v>50</v>
      </c>
      <c r="AE60" s="74">
        <f t="shared" si="1"/>
        <v>12</v>
      </c>
      <c r="AF60" s="53">
        <f t="shared" si="2"/>
        <v>27804</v>
      </c>
      <c r="AH60" s="58">
        <f t="shared" si="30"/>
        <v>32</v>
      </c>
      <c r="AI60" s="17">
        <f t="shared" si="30"/>
        <v>96</v>
      </c>
      <c r="AJ60" s="40">
        <f t="shared" si="23"/>
        <v>-71336.916735213439</v>
      </c>
      <c r="AK60" s="51">
        <f t="shared" si="28"/>
        <v>14917.241820281928</v>
      </c>
      <c r="AL60" s="134">
        <f t="shared" si="24"/>
        <v>-4312.707927774768</v>
      </c>
      <c r="AM60" s="135">
        <f t="shared" si="25"/>
        <v>-90566.866483270132</v>
      </c>
    </row>
    <row r="61" spans="1:39" ht="15.75" thickBot="1">
      <c r="A61" s="14"/>
      <c r="B61" s="116">
        <f t="shared" si="29"/>
        <v>2013</v>
      </c>
      <c r="C61" s="117">
        <f t="shared" si="29"/>
        <v>51</v>
      </c>
      <c r="D61" s="118">
        <f t="shared" si="4"/>
        <v>1.6103243201551867</v>
      </c>
      <c r="E61" s="120">
        <f t="shared" si="31"/>
        <v>2374.5</v>
      </c>
      <c r="F61" s="84">
        <v>12</v>
      </c>
      <c r="G61" s="121">
        <v>28494</v>
      </c>
      <c r="I61" s="116">
        <f t="shared" si="0"/>
        <v>2013</v>
      </c>
      <c r="J61" s="117">
        <f t="shared" si="6"/>
        <v>52</v>
      </c>
      <c r="K61" s="117">
        <f t="shared" si="7"/>
        <v>1</v>
      </c>
      <c r="L61" s="119">
        <f t="shared" si="26"/>
        <v>0.15</v>
      </c>
      <c r="M61" s="122">
        <f t="shared" si="8"/>
        <v>28494</v>
      </c>
      <c r="N61" s="117">
        <f t="shared" si="9"/>
        <v>83800.176940928824</v>
      </c>
      <c r="O61" s="117">
        <f t="shared" si="10"/>
        <v>4274.0999999999995</v>
      </c>
      <c r="P61" s="117">
        <f t="shared" si="11"/>
        <v>3352.0070776371531</v>
      </c>
      <c r="Q61" s="123">
        <f t="shared" si="12"/>
        <v>91426.284018565988</v>
      </c>
      <c r="S61" s="124">
        <f t="shared" si="13"/>
        <v>2013</v>
      </c>
      <c r="T61" s="125">
        <f t="shared" si="13"/>
        <v>52</v>
      </c>
      <c r="U61" s="125">
        <f t="shared" si="14"/>
        <v>0</v>
      </c>
      <c r="V61" s="126">
        <f t="shared" si="15"/>
        <v>0</v>
      </c>
      <c r="W61" s="126">
        <f t="shared" si="16"/>
        <v>0</v>
      </c>
      <c r="X61" s="125">
        <f t="shared" si="17"/>
        <v>0</v>
      </c>
      <c r="Y61" s="127">
        <f t="shared" si="18"/>
        <v>0</v>
      </c>
      <c r="Z61" s="125">
        <f t="shared" si="19"/>
        <v>0</v>
      </c>
      <c r="AA61" s="128">
        <f t="shared" si="20"/>
        <v>0</v>
      </c>
      <c r="AB61" s="125"/>
      <c r="AC61" s="124">
        <f t="shared" si="21"/>
        <v>2013</v>
      </c>
      <c r="AD61" s="129">
        <f t="shared" si="22"/>
        <v>51</v>
      </c>
      <c r="AE61" s="129">
        <f t="shared" si="1"/>
        <v>12</v>
      </c>
      <c r="AF61" s="128">
        <f t="shared" si="2"/>
        <v>28494</v>
      </c>
      <c r="AH61" s="124">
        <f t="shared" si="30"/>
        <v>33</v>
      </c>
      <c r="AI61" s="17">
        <f t="shared" si="30"/>
        <v>97</v>
      </c>
      <c r="AJ61" s="40">
        <f t="shared" si="23"/>
        <v>-90566.866483270132</v>
      </c>
      <c r="AK61" s="51">
        <f t="shared" si="28"/>
        <v>14917.241820281928</v>
      </c>
      <c r="AL61" s="134">
        <f t="shared" si="24"/>
        <v>-5274.2054151776028</v>
      </c>
      <c r="AM61" s="135">
        <f t="shared" si="25"/>
        <v>-110758.31371872965</v>
      </c>
    </row>
    <row r="62" spans="1:39" ht="15.75" thickBot="1">
      <c r="A62" s="14"/>
      <c r="B62" s="97">
        <f t="shared" ref="B62:C77" si="32">+B61+1</f>
        <v>2014</v>
      </c>
      <c r="C62" s="88">
        <f t="shared" si="32"/>
        <v>52</v>
      </c>
      <c r="D62" s="89">
        <f t="shared" si="4"/>
        <v>1.6344791849575142</v>
      </c>
      <c r="E62" s="120">
        <f t="shared" si="31"/>
        <v>2374.5</v>
      </c>
      <c r="F62" s="84">
        <v>12</v>
      </c>
      <c r="G62" s="121">
        <v>28494</v>
      </c>
      <c r="I62" s="97">
        <f t="shared" si="0"/>
        <v>2014</v>
      </c>
      <c r="J62" s="88">
        <f t="shared" si="6"/>
        <v>53</v>
      </c>
      <c r="K62" s="88">
        <f t="shared" si="7"/>
        <v>1</v>
      </c>
      <c r="L62" s="107">
        <f t="shared" si="26"/>
        <v>0.15</v>
      </c>
      <c r="M62" s="108">
        <f t="shared" si="8"/>
        <v>28494</v>
      </c>
      <c r="N62" s="88">
        <f t="shared" si="9"/>
        <v>91426.284018565988</v>
      </c>
      <c r="O62" s="88">
        <f t="shared" si="10"/>
        <v>4274.0999999999995</v>
      </c>
      <c r="P62" s="88">
        <f t="shared" si="11"/>
        <v>3657.0513607426396</v>
      </c>
      <c r="Q62" s="99">
        <f t="shared" si="12"/>
        <v>99357.435379308634</v>
      </c>
      <c r="S62" s="58">
        <f t="shared" si="13"/>
        <v>2014</v>
      </c>
      <c r="T62" s="52">
        <f t="shared" si="13"/>
        <v>53</v>
      </c>
      <c r="U62" s="52">
        <f t="shared" si="14"/>
        <v>0</v>
      </c>
      <c r="V62" s="54">
        <f t="shared" si="15"/>
        <v>0</v>
      </c>
      <c r="W62" s="54">
        <f t="shared" si="16"/>
        <v>0</v>
      </c>
      <c r="X62" s="52">
        <f t="shared" si="17"/>
        <v>0</v>
      </c>
      <c r="Y62" s="48">
        <f t="shared" si="18"/>
        <v>0</v>
      </c>
      <c r="Z62" s="52">
        <f t="shared" si="19"/>
        <v>0</v>
      </c>
      <c r="AA62" s="53">
        <f t="shared" si="20"/>
        <v>0</v>
      </c>
      <c r="AB62" s="52"/>
      <c r="AC62" s="58">
        <f t="shared" si="21"/>
        <v>2014</v>
      </c>
      <c r="AD62" s="74">
        <f t="shared" si="22"/>
        <v>52</v>
      </c>
      <c r="AE62" s="74">
        <f t="shared" si="1"/>
        <v>12</v>
      </c>
      <c r="AF62" s="53">
        <f t="shared" si="2"/>
        <v>28494</v>
      </c>
      <c r="AH62" s="58">
        <f t="shared" si="30"/>
        <v>34</v>
      </c>
      <c r="AI62" s="17">
        <f t="shared" si="30"/>
        <v>98</v>
      </c>
      <c r="AJ62" s="40">
        <f t="shared" si="23"/>
        <v>-110758.31371872965</v>
      </c>
      <c r="AK62" s="51">
        <f t="shared" si="28"/>
        <v>14917.241820281928</v>
      </c>
      <c r="AL62" s="134">
        <f t="shared" si="24"/>
        <v>-6283.7777769505792</v>
      </c>
      <c r="AM62" s="135">
        <f t="shared" si="25"/>
        <v>-131959.33331596217</v>
      </c>
    </row>
    <row r="63" spans="1:39" ht="15.75" thickBot="1">
      <c r="A63" s="14"/>
      <c r="B63" s="97">
        <f t="shared" si="32"/>
        <v>2015</v>
      </c>
      <c r="C63" s="88">
        <f t="shared" si="32"/>
        <v>53</v>
      </c>
      <c r="D63" s="89">
        <f t="shared" si="4"/>
        <v>1.6589963727318768</v>
      </c>
      <c r="E63" s="120">
        <f t="shared" si="31"/>
        <v>2439.9166666666665</v>
      </c>
      <c r="F63" s="84">
        <v>12</v>
      </c>
      <c r="G63" s="121">
        <v>29279</v>
      </c>
      <c r="I63" s="97">
        <f t="shared" si="0"/>
        <v>2015</v>
      </c>
      <c r="J63" s="88">
        <f t="shared" si="6"/>
        <v>54</v>
      </c>
      <c r="K63" s="88">
        <f t="shared" si="7"/>
        <v>1</v>
      </c>
      <c r="L63" s="107">
        <f t="shared" si="26"/>
        <v>0.15</v>
      </c>
      <c r="M63" s="108">
        <f t="shared" si="8"/>
        <v>29279</v>
      </c>
      <c r="N63" s="88">
        <f t="shared" si="9"/>
        <v>99357.435379308634</v>
      </c>
      <c r="O63" s="88">
        <f t="shared" si="10"/>
        <v>4391.8499999999995</v>
      </c>
      <c r="P63" s="88">
        <f t="shared" si="11"/>
        <v>3974.2974151723456</v>
      </c>
      <c r="Q63" s="99">
        <f t="shared" si="12"/>
        <v>107723.58279448099</v>
      </c>
      <c r="S63" s="58">
        <f t="shared" si="13"/>
        <v>2015</v>
      </c>
      <c r="T63" s="52">
        <f t="shared" si="13"/>
        <v>54</v>
      </c>
      <c r="U63" s="52">
        <f t="shared" si="14"/>
        <v>0</v>
      </c>
      <c r="V63" s="54">
        <f t="shared" si="15"/>
        <v>0</v>
      </c>
      <c r="W63" s="54">
        <f t="shared" si="16"/>
        <v>0</v>
      </c>
      <c r="X63" s="52">
        <f t="shared" si="17"/>
        <v>0</v>
      </c>
      <c r="Y63" s="48">
        <f t="shared" si="18"/>
        <v>0</v>
      </c>
      <c r="Z63" s="52">
        <f t="shared" si="19"/>
        <v>0</v>
      </c>
      <c r="AA63" s="53">
        <f t="shared" si="20"/>
        <v>0</v>
      </c>
      <c r="AB63" s="52"/>
      <c r="AC63" s="58">
        <f t="shared" si="21"/>
        <v>2015</v>
      </c>
      <c r="AD63" s="74">
        <f t="shared" si="22"/>
        <v>53</v>
      </c>
      <c r="AE63" s="74">
        <f t="shared" si="1"/>
        <v>12</v>
      </c>
      <c r="AF63" s="53">
        <f t="shared" si="2"/>
        <v>29279</v>
      </c>
      <c r="AH63" s="58">
        <f t="shared" ref="AH63:AI77" si="33">+AH62+1</f>
        <v>35</v>
      </c>
      <c r="AI63" s="17">
        <f t="shared" si="33"/>
        <v>99</v>
      </c>
      <c r="AJ63" s="40">
        <f t="shared" si="23"/>
        <v>-131959.33331596217</v>
      </c>
      <c r="AK63" s="51">
        <f t="shared" si="28"/>
        <v>14917.241820281928</v>
      </c>
      <c r="AL63" s="134">
        <f t="shared" si="24"/>
        <v>-7343.828756812205</v>
      </c>
      <c r="AM63" s="135">
        <f t="shared" si="25"/>
        <v>-154220.4038930563</v>
      </c>
    </row>
    <row r="64" spans="1:39" ht="15.75" thickBot="1">
      <c r="A64" s="14"/>
      <c r="B64" s="97">
        <f t="shared" si="32"/>
        <v>2016</v>
      </c>
      <c r="C64" s="88">
        <f t="shared" si="32"/>
        <v>54</v>
      </c>
      <c r="D64" s="89">
        <f t="shared" si="4"/>
        <v>1.6838813183228549</v>
      </c>
      <c r="E64" s="120">
        <f t="shared" si="31"/>
        <v>2374.5</v>
      </c>
      <c r="F64" s="84">
        <v>12</v>
      </c>
      <c r="G64" s="121">
        <v>28494</v>
      </c>
      <c r="I64" s="97">
        <f t="shared" si="0"/>
        <v>2016</v>
      </c>
      <c r="J64" s="88">
        <f t="shared" si="6"/>
        <v>55</v>
      </c>
      <c r="K64" s="88">
        <f t="shared" si="7"/>
        <v>1</v>
      </c>
      <c r="L64" s="107">
        <f t="shared" si="26"/>
        <v>0.15</v>
      </c>
      <c r="M64" s="108">
        <f t="shared" si="8"/>
        <v>28494</v>
      </c>
      <c r="N64" s="88">
        <f t="shared" si="9"/>
        <v>107723.58279448099</v>
      </c>
      <c r="O64" s="88">
        <f t="shared" si="10"/>
        <v>4274.0999999999995</v>
      </c>
      <c r="P64" s="88">
        <f t="shared" si="11"/>
        <v>4308.9433117792396</v>
      </c>
      <c r="Q64" s="99">
        <f t="shared" si="12"/>
        <v>116306.62610626023</v>
      </c>
      <c r="S64" s="58">
        <f t="shared" si="13"/>
        <v>2016</v>
      </c>
      <c r="T64" s="52">
        <f t="shared" si="13"/>
        <v>55</v>
      </c>
      <c r="U64" s="52">
        <f t="shared" si="14"/>
        <v>0</v>
      </c>
      <c r="V64" s="54">
        <f t="shared" si="15"/>
        <v>0</v>
      </c>
      <c r="W64" s="54">
        <f t="shared" si="16"/>
        <v>0</v>
      </c>
      <c r="X64" s="52">
        <f t="shared" si="17"/>
        <v>0</v>
      </c>
      <c r="Y64" s="48">
        <f>+(G64*V64)*U64</f>
        <v>0</v>
      </c>
      <c r="Z64" s="52">
        <f t="shared" si="19"/>
        <v>0</v>
      </c>
      <c r="AA64" s="53">
        <f t="shared" si="20"/>
        <v>0</v>
      </c>
      <c r="AB64" s="52"/>
      <c r="AC64" s="58">
        <f t="shared" si="21"/>
        <v>2016</v>
      </c>
      <c r="AD64" s="74">
        <f t="shared" si="22"/>
        <v>54</v>
      </c>
      <c r="AE64" s="74">
        <f t="shared" si="1"/>
        <v>12</v>
      </c>
      <c r="AF64" s="53">
        <f t="shared" si="2"/>
        <v>28494</v>
      </c>
      <c r="AH64" s="58">
        <f t="shared" si="33"/>
        <v>36</v>
      </c>
      <c r="AI64" s="17">
        <f t="shared" si="33"/>
        <v>100</v>
      </c>
      <c r="AJ64" s="40">
        <f t="shared" si="23"/>
        <v>-154220.4038930563</v>
      </c>
      <c r="AK64" s="51">
        <f t="shared" si="28"/>
        <v>14917.241820281928</v>
      </c>
      <c r="AL64" s="134">
        <f t="shared" si="24"/>
        <v>-8456.8822856669121</v>
      </c>
      <c r="AM64" s="135">
        <f t="shared" si="25"/>
        <v>-177594.52799900513</v>
      </c>
    </row>
    <row r="65" spans="1:39" ht="15.75" thickBot="1">
      <c r="A65" s="14"/>
      <c r="B65" s="97">
        <f t="shared" si="32"/>
        <v>2017</v>
      </c>
      <c r="C65" s="88">
        <f t="shared" si="32"/>
        <v>55</v>
      </c>
      <c r="D65" s="89">
        <f t="shared" si="4"/>
        <v>1.7091395380976975</v>
      </c>
      <c r="E65" s="120">
        <f t="shared" si="31"/>
        <v>2706.1666666666665</v>
      </c>
      <c r="F65" s="84">
        <v>12</v>
      </c>
      <c r="G65" s="121">
        <v>32474</v>
      </c>
      <c r="I65" s="97">
        <f t="shared" si="0"/>
        <v>2017</v>
      </c>
      <c r="J65" s="88">
        <f t="shared" si="6"/>
        <v>56</v>
      </c>
      <c r="K65" s="88">
        <f t="shared" si="7"/>
        <v>1</v>
      </c>
      <c r="L65" s="107">
        <f t="shared" si="26"/>
        <v>0.15</v>
      </c>
      <c r="M65" s="108">
        <f t="shared" si="8"/>
        <v>30000</v>
      </c>
      <c r="N65" s="88">
        <f t="shared" si="9"/>
        <v>116306.62610626023</v>
      </c>
      <c r="O65" s="88">
        <f t="shared" si="10"/>
        <v>4500</v>
      </c>
      <c r="P65" s="88">
        <f t="shared" si="11"/>
        <v>4652.2650442504091</v>
      </c>
      <c r="Q65" s="99">
        <f t="shared" si="12"/>
        <v>125458.89115051064</v>
      </c>
      <c r="S65" s="58">
        <f t="shared" si="13"/>
        <v>2017</v>
      </c>
      <c r="T65" s="52">
        <f t="shared" si="13"/>
        <v>56</v>
      </c>
      <c r="U65" s="52">
        <f t="shared" si="14"/>
        <v>0</v>
      </c>
      <c r="V65" s="54">
        <f t="shared" si="15"/>
        <v>0</v>
      </c>
      <c r="W65" s="54">
        <f t="shared" si="16"/>
        <v>0</v>
      </c>
      <c r="X65" s="52">
        <f t="shared" si="17"/>
        <v>0</v>
      </c>
      <c r="Y65" s="48">
        <f t="shared" si="18"/>
        <v>0</v>
      </c>
      <c r="Z65" s="52">
        <f t="shared" si="19"/>
        <v>0</v>
      </c>
      <c r="AA65" s="53">
        <f t="shared" si="20"/>
        <v>0</v>
      </c>
      <c r="AB65" s="52"/>
      <c r="AC65" s="58">
        <f t="shared" si="21"/>
        <v>2017</v>
      </c>
      <c r="AD65" s="74">
        <f t="shared" si="22"/>
        <v>55</v>
      </c>
      <c r="AE65" s="74">
        <f t="shared" si="1"/>
        <v>12</v>
      </c>
      <c r="AF65" s="53">
        <f t="shared" si="2"/>
        <v>30000</v>
      </c>
      <c r="AH65" s="58">
        <f t="shared" si="33"/>
        <v>37</v>
      </c>
      <c r="AI65" s="17">
        <f t="shared" si="33"/>
        <v>101</v>
      </c>
      <c r="AJ65" s="40">
        <f t="shared" si="23"/>
        <v>-177594.52799900513</v>
      </c>
      <c r="AK65" s="51">
        <f t="shared" si="28"/>
        <v>14917.241820281928</v>
      </c>
      <c r="AL65" s="134">
        <f t="shared" si="24"/>
        <v>-9625.5884909643537</v>
      </c>
      <c r="AM65" s="135">
        <f t="shared" si="25"/>
        <v>-202137.35831025141</v>
      </c>
    </row>
    <row r="66" spans="1:39" ht="15.75" thickBot="1">
      <c r="A66" s="14"/>
      <c r="B66" s="97">
        <f t="shared" si="32"/>
        <v>2018</v>
      </c>
      <c r="C66" s="88">
        <f>+C65+1</f>
        <v>56</v>
      </c>
      <c r="D66" s="89">
        <f t="shared" si="4"/>
        <v>1.7347766311691628</v>
      </c>
      <c r="E66" s="120">
        <f t="shared" si="31"/>
        <v>3110.75</v>
      </c>
      <c r="F66" s="84">
        <v>12</v>
      </c>
      <c r="G66" s="121">
        <v>37329</v>
      </c>
      <c r="I66" s="97">
        <f t="shared" si="0"/>
        <v>2018</v>
      </c>
      <c r="J66" s="88">
        <f t="shared" si="6"/>
        <v>57</v>
      </c>
      <c r="K66" s="88">
        <f t="shared" si="7"/>
        <v>1</v>
      </c>
      <c r="L66" s="107">
        <f t="shared" si="26"/>
        <v>0.15</v>
      </c>
      <c r="M66" s="108">
        <f t="shared" si="8"/>
        <v>30000</v>
      </c>
      <c r="N66" s="88">
        <f t="shared" si="9"/>
        <v>125458.89115051064</v>
      </c>
      <c r="O66" s="88">
        <f t="shared" si="10"/>
        <v>4500</v>
      </c>
      <c r="P66" s="88">
        <f t="shared" si="11"/>
        <v>5018.3556460204254</v>
      </c>
      <c r="Q66" s="99">
        <f t="shared" si="12"/>
        <v>134977.24679653105</v>
      </c>
      <c r="S66" s="58">
        <f t="shared" si="13"/>
        <v>2018</v>
      </c>
      <c r="T66" s="52">
        <f t="shared" si="13"/>
        <v>57</v>
      </c>
      <c r="U66" s="52">
        <f t="shared" si="14"/>
        <v>0</v>
      </c>
      <c r="V66" s="54">
        <f t="shared" si="15"/>
        <v>0</v>
      </c>
      <c r="W66" s="54">
        <f t="shared" si="16"/>
        <v>0</v>
      </c>
      <c r="X66" s="52">
        <f t="shared" si="17"/>
        <v>0</v>
      </c>
      <c r="Y66" s="48">
        <f t="shared" si="18"/>
        <v>0</v>
      </c>
      <c r="Z66" s="52">
        <f t="shared" si="19"/>
        <v>0</v>
      </c>
      <c r="AA66" s="53">
        <f t="shared" si="20"/>
        <v>0</v>
      </c>
      <c r="AB66" s="52"/>
      <c r="AC66" s="58">
        <f t="shared" si="21"/>
        <v>2018</v>
      </c>
      <c r="AD66" s="74">
        <f t="shared" si="22"/>
        <v>56</v>
      </c>
      <c r="AE66" s="74">
        <f t="shared" si="1"/>
        <v>12</v>
      </c>
      <c r="AF66" s="53">
        <f t="shared" si="2"/>
        <v>30000</v>
      </c>
      <c r="AH66" s="58">
        <f t="shared" si="33"/>
        <v>38</v>
      </c>
      <c r="AI66" s="17">
        <f t="shared" si="33"/>
        <v>102</v>
      </c>
      <c r="AJ66" s="40">
        <f t="shared" si="23"/>
        <v>-202137.35831025141</v>
      </c>
      <c r="AK66" s="51">
        <f t="shared" si="28"/>
        <v>14917.241820281928</v>
      </c>
      <c r="AL66" s="134">
        <f t="shared" si="24"/>
        <v>-10852.730006526668</v>
      </c>
      <c r="AM66" s="135">
        <f t="shared" si="25"/>
        <v>-227907.33013705999</v>
      </c>
    </row>
    <row r="67" spans="1:39" ht="15.75" thickBot="1">
      <c r="A67" s="14"/>
      <c r="B67" s="97">
        <f t="shared" si="32"/>
        <v>2019</v>
      </c>
      <c r="C67" s="88">
        <f>+C66+1</f>
        <v>57</v>
      </c>
      <c r="D67" s="89">
        <f t="shared" si="4"/>
        <v>1.7607982806367002</v>
      </c>
      <c r="E67" s="120">
        <f t="shared" si="31"/>
        <v>3074.5</v>
      </c>
      <c r="F67" s="84">
        <v>12</v>
      </c>
      <c r="G67" s="121">
        <v>36894</v>
      </c>
      <c r="I67" s="97">
        <f t="shared" si="0"/>
        <v>2019</v>
      </c>
      <c r="J67" s="88">
        <f t="shared" si="6"/>
        <v>58</v>
      </c>
      <c r="K67" s="88">
        <f t="shared" si="7"/>
        <v>1</v>
      </c>
      <c r="L67" s="107">
        <f t="shared" si="26"/>
        <v>0.15</v>
      </c>
      <c r="M67" s="108">
        <f t="shared" si="8"/>
        <v>30000</v>
      </c>
      <c r="N67" s="88">
        <f t="shared" si="9"/>
        <v>134977.24679653105</v>
      </c>
      <c r="O67" s="88">
        <f t="shared" si="10"/>
        <v>4500</v>
      </c>
      <c r="P67" s="88">
        <f t="shared" si="11"/>
        <v>5399.0898718612425</v>
      </c>
      <c r="Q67" s="99">
        <f t="shared" si="12"/>
        <v>144876.33666839229</v>
      </c>
      <c r="S67" s="58">
        <f t="shared" si="13"/>
        <v>2019</v>
      </c>
      <c r="T67" s="52">
        <f t="shared" si="13"/>
        <v>58</v>
      </c>
      <c r="U67" s="52">
        <f t="shared" si="14"/>
        <v>0</v>
      </c>
      <c r="V67" s="54">
        <f t="shared" si="15"/>
        <v>0</v>
      </c>
      <c r="W67" s="54">
        <f t="shared" si="16"/>
        <v>0</v>
      </c>
      <c r="X67" s="52">
        <f t="shared" si="17"/>
        <v>0</v>
      </c>
      <c r="Y67" s="48">
        <f t="shared" si="18"/>
        <v>0</v>
      </c>
      <c r="Z67" s="52">
        <f t="shared" si="19"/>
        <v>0</v>
      </c>
      <c r="AA67" s="53">
        <f t="shared" si="20"/>
        <v>0</v>
      </c>
      <c r="AB67" s="52"/>
      <c r="AC67" s="58">
        <f t="shared" si="21"/>
        <v>2019</v>
      </c>
      <c r="AD67" s="74">
        <f t="shared" si="22"/>
        <v>57</v>
      </c>
      <c r="AE67" s="74">
        <f t="shared" si="1"/>
        <v>12</v>
      </c>
      <c r="AF67" s="53">
        <f t="shared" si="2"/>
        <v>30000</v>
      </c>
      <c r="AH67" s="58">
        <f t="shared" si="33"/>
        <v>39</v>
      </c>
      <c r="AI67" s="17">
        <f t="shared" si="33"/>
        <v>103</v>
      </c>
      <c r="AJ67" s="40">
        <f t="shared" si="23"/>
        <v>-227907.33013705999</v>
      </c>
      <c r="AK67" s="51">
        <f t="shared" si="28"/>
        <v>14917.241820281928</v>
      </c>
      <c r="AL67" s="134">
        <f t="shared" si="24"/>
        <v>-12141.228597867097</v>
      </c>
      <c r="AM67" s="135">
        <f t="shared" si="25"/>
        <v>-254965.80055520902</v>
      </c>
    </row>
    <row r="68" spans="1:39" ht="15.75" thickBot="1">
      <c r="A68" s="14"/>
      <c r="B68" s="97">
        <f t="shared" si="32"/>
        <v>2020</v>
      </c>
      <c r="C68" s="88">
        <f>+C67+1</f>
        <v>58</v>
      </c>
      <c r="D68" s="89">
        <f t="shared" si="4"/>
        <v>1.7872102548462505</v>
      </c>
      <c r="E68" s="120">
        <f t="shared" si="31"/>
        <v>3074.5</v>
      </c>
      <c r="F68" s="84">
        <v>12</v>
      </c>
      <c r="G68" s="121">
        <v>36894</v>
      </c>
      <c r="I68" s="97">
        <f t="shared" si="0"/>
        <v>2020</v>
      </c>
      <c r="J68" s="88">
        <f t="shared" si="6"/>
        <v>59</v>
      </c>
      <c r="K68" s="88">
        <f t="shared" si="7"/>
        <v>1</v>
      </c>
      <c r="L68" s="107">
        <f t="shared" si="26"/>
        <v>0.15</v>
      </c>
      <c r="M68" s="108">
        <f t="shared" si="8"/>
        <v>30000</v>
      </c>
      <c r="N68" s="88">
        <f t="shared" si="9"/>
        <v>144876.33666839229</v>
      </c>
      <c r="O68" s="88">
        <f t="shared" si="10"/>
        <v>4500</v>
      </c>
      <c r="P68" s="88">
        <f t="shared" si="11"/>
        <v>5795.0534667356915</v>
      </c>
      <c r="Q68" s="99">
        <f t="shared" si="12"/>
        <v>155171.39013512799</v>
      </c>
      <c r="S68" s="58">
        <f t="shared" si="13"/>
        <v>2020</v>
      </c>
      <c r="T68" s="52">
        <f t="shared" si="13"/>
        <v>59</v>
      </c>
      <c r="U68" s="52">
        <f t="shared" si="14"/>
        <v>0</v>
      </c>
      <c r="V68" s="54">
        <f t="shared" si="15"/>
        <v>0</v>
      </c>
      <c r="W68" s="54">
        <f t="shared" si="16"/>
        <v>0</v>
      </c>
      <c r="X68" s="52">
        <f t="shared" si="17"/>
        <v>0</v>
      </c>
      <c r="Y68" s="48">
        <f t="shared" si="18"/>
        <v>0</v>
      </c>
      <c r="Z68" s="52">
        <f t="shared" si="19"/>
        <v>0</v>
      </c>
      <c r="AA68" s="53">
        <f t="shared" si="20"/>
        <v>0</v>
      </c>
      <c r="AB68" s="52"/>
      <c r="AC68" s="58">
        <f t="shared" si="21"/>
        <v>2020</v>
      </c>
      <c r="AD68" s="74">
        <f t="shared" si="22"/>
        <v>58</v>
      </c>
      <c r="AE68" s="74">
        <f t="shared" si="1"/>
        <v>12</v>
      </c>
      <c r="AF68" s="53">
        <f t="shared" si="2"/>
        <v>30000</v>
      </c>
      <c r="AH68" s="58">
        <f t="shared" si="33"/>
        <v>40</v>
      </c>
      <c r="AI68" s="17">
        <f t="shared" si="33"/>
        <v>104</v>
      </c>
      <c r="AJ68" s="40">
        <f t="shared" si="23"/>
        <v>-254965.80055520902</v>
      </c>
      <c r="AK68" s="51">
        <f t="shared" si="28"/>
        <v>14917.241820281928</v>
      </c>
      <c r="AL68" s="134">
        <f t="shared" si="24"/>
        <v>-13494.152118774547</v>
      </c>
      <c r="AM68" s="135">
        <f t="shared" si="25"/>
        <v>-283377.19449426548</v>
      </c>
    </row>
    <row r="69" spans="1:39" ht="15.75" thickBot="1">
      <c r="A69" s="14"/>
      <c r="B69" s="97">
        <f t="shared" si="32"/>
        <v>2021</v>
      </c>
      <c r="C69" s="88">
        <f t="shared" si="32"/>
        <v>59</v>
      </c>
      <c r="D69" s="89">
        <f t="shared" si="4"/>
        <v>1.8140184086689441</v>
      </c>
      <c r="E69" s="120">
        <f t="shared" si="31"/>
        <v>3074.5</v>
      </c>
      <c r="F69" s="84">
        <v>12</v>
      </c>
      <c r="G69" s="121">
        <v>36894</v>
      </c>
      <c r="I69" s="97">
        <f t="shared" si="0"/>
        <v>2021</v>
      </c>
      <c r="J69" s="88">
        <f t="shared" si="6"/>
        <v>60</v>
      </c>
      <c r="K69" s="88">
        <f t="shared" si="7"/>
        <v>1</v>
      </c>
      <c r="L69" s="107">
        <f t="shared" si="26"/>
        <v>0.15</v>
      </c>
      <c r="M69" s="108">
        <f t="shared" si="8"/>
        <v>30000</v>
      </c>
      <c r="N69" s="88">
        <f t="shared" si="9"/>
        <v>155171.39013512799</v>
      </c>
      <c r="O69" s="88">
        <f t="shared" si="10"/>
        <v>4500</v>
      </c>
      <c r="P69" s="88">
        <f t="shared" si="11"/>
        <v>6206.8556054051196</v>
      </c>
      <c r="Q69" s="99">
        <f t="shared" si="12"/>
        <v>165878.24574053311</v>
      </c>
      <c r="S69" s="58">
        <f t="shared" si="13"/>
        <v>2021</v>
      </c>
      <c r="T69" s="52">
        <f t="shared" si="13"/>
        <v>60</v>
      </c>
      <c r="U69" s="52">
        <f t="shared" si="14"/>
        <v>0</v>
      </c>
      <c r="V69" s="54">
        <f t="shared" si="15"/>
        <v>0</v>
      </c>
      <c r="W69" s="54">
        <f t="shared" si="16"/>
        <v>0</v>
      </c>
      <c r="X69" s="52">
        <f t="shared" si="17"/>
        <v>0</v>
      </c>
      <c r="Y69" s="48">
        <f t="shared" si="18"/>
        <v>0</v>
      </c>
      <c r="Z69" s="52">
        <f t="shared" si="19"/>
        <v>0</v>
      </c>
      <c r="AA69" s="53">
        <f t="shared" si="20"/>
        <v>0</v>
      </c>
      <c r="AB69" s="52"/>
      <c r="AC69" s="58">
        <f t="shared" si="21"/>
        <v>2021</v>
      </c>
      <c r="AD69" s="74">
        <f t="shared" si="22"/>
        <v>59</v>
      </c>
      <c r="AE69" s="74">
        <f t="shared" si="1"/>
        <v>12</v>
      </c>
      <c r="AF69" s="53">
        <f t="shared" si="2"/>
        <v>30000</v>
      </c>
      <c r="AH69" s="58">
        <f t="shared" si="33"/>
        <v>41</v>
      </c>
      <c r="AI69" s="17">
        <f t="shared" si="33"/>
        <v>105</v>
      </c>
      <c r="AJ69" s="40">
        <f t="shared" si="23"/>
        <v>-283377.19449426548</v>
      </c>
      <c r="AK69" s="51">
        <f t="shared" si="28"/>
        <v>14917.241820281928</v>
      </c>
      <c r="AL69" s="134">
        <f t="shared" si="24"/>
        <v>-14914.721815727373</v>
      </c>
      <c r="AM69" s="135">
        <f t="shared" si="25"/>
        <v>-313209.15813027479</v>
      </c>
    </row>
    <row r="70" spans="1:39" ht="15.75" thickBot="1">
      <c r="A70" s="14"/>
      <c r="B70" s="97">
        <f t="shared" si="32"/>
        <v>2022</v>
      </c>
      <c r="C70" s="88">
        <f t="shared" si="32"/>
        <v>60</v>
      </c>
      <c r="D70" s="89">
        <f t="shared" si="4"/>
        <v>1.8412286847989781</v>
      </c>
      <c r="E70" s="120">
        <f t="shared" si="31"/>
        <v>2982.25</v>
      </c>
      <c r="F70" s="84">
        <v>12</v>
      </c>
      <c r="G70" s="121">
        <v>35787</v>
      </c>
      <c r="I70" s="97">
        <f t="shared" si="0"/>
        <v>2022</v>
      </c>
      <c r="J70" s="88">
        <f t="shared" si="6"/>
        <v>61</v>
      </c>
      <c r="K70" s="88">
        <f t="shared" si="7"/>
        <v>1</v>
      </c>
      <c r="L70" s="107">
        <f t="shared" si="26"/>
        <v>0.15</v>
      </c>
      <c r="M70" s="108">
        <f t="shared" si="8"/>
        <v>30000</v>
      </c>
      <c r="N70" s="88">
        <f t="shared" si="9"/>
        <v>165878.24574053311</v>
      </c>
      <c r="O70" s="88">
        <f t="shared" si="10"/>
        <v>4500</v>
      </c>
      <c r="P70" s="88">
        <f t="shared" si="11"/>
        <v>6635.1298296213245</v>
      </c>
      <c r="Q70" s="99">
        <f t="shared" si="12"/>
        <v>177013.37557015443</v>
      </c>
      <c r="S70" s="58">
        <f t="shared" si="13"/>
        <v>2022</v>
      </c>
      <c r="T70" s="52">
        <f t="shared" si="13"/>
        <v>61</v>
      </c>
      <c r="U70" s="52">
        <f t="shared" si="14"/>
        <v>0</v>
      </c>
      <c r="V70" s="54">
        <f t="shared" si="15"/>
        <v>0</v>
      </c>
      <c r="W70" s="54">
        <f t="shared" si="16"/>
        <v>0</v>
      </c>
      <c r="X70" s="52">
        <f t="shared" si="17"/>
        <v>0</v>
      </c>
      <c r="Y70" s="48">
        <f t="shared" si="18"/>
        <v>0</v>
      </c>
      <c r="Z70" s="52">
        <f t="shared" si="19"/>
        <v>0</v>
      </c>
      <c r="AA70" s="53">
        <f t="shared" si="20"/>
        <v>0</v>
      </c>
      <c r="AB70" s="52"/>
      <c r="AC70" s="58">
        <f t="shared" si="21"/>
        <v>2022</v>
      </c>
      <c r="AD70" s="74">
        <f t="shared" si="22"/>
        <v>60</v>
      </c>
      <c r="AE70" s="74">
        <f t="shared" si="1"/>
        <v>12</v>
      </c>
      <c r="AF70" s="53">
        <f t="shared" si="2"/>
        <v>30000</v>
      </c>
      <c r="AH70" s="58">
        <f t="shared" si="33"/>
        <v>42</v>
      </c>
      <c r="AI70" s="17">
        <f t="shared" si="33"/>
        <v>106</v>
      </c>
      <c r="AJ70" s="40">
        <f t="shared" si="23"/>
        <v>-313209.15813027479</v>
      </c>
      <c r="AK70" s="51">
        <f t="shared" si="28"/>
        <v>14917.241820281928</v>
      </c>
      <c r="AL70" s="134">
        <f t="shared" si="24"/>
        <v>-16406.319997527837</v>
      </c>
      <c r="AM70" s="135">
        <f t="shared" si="25"/>
        <v>-344532.71994808456</v>
      </c>
    </row>
    <row r="71" spans="1:39" ht="15.75" thickBot="1">
      <c r="A71" s="14"/>
      <c r="B71" s="97">
        <f t="shared" si="32"/>
        <v>2023</v>
      </c>
      <c r="C71" s="88">
        <f t="shared" si="32"/>
        <v>61</v>
      </c>
      <c r="D71" s="89">
        <f t="shared" si="4"/>
        <v>1.8688471150709625</v>
      </c>
      <c r="E71" s="120">
        <f t="shared" si="31"/>
        <v>3117.1666666666665</v>
      </c>
      <c r="F71" s="84">
        <v>12</v>
      </c>
      <c r="G71" s="121">
        <v>37406</v>
      </c>
      <c r="I71" s="97">
        <f t="shared" si="0"/>
        <v>2023</v>
      </c>
      <c r="J71" s="88">
        <f t="shared" si="6"/>
        <v>62</v>
      </c>
      <c r="K71" s="88">
        <f t="shared" si="7"/>
        <v>1</v>
      </c>
      <c r="L71" s="107">
        <f t="shared" si="26"/>
        <v>0.15</v>
      </c>
      <c r="M71" s="108">
        <f t="shared" si="8"/>
        <v>30000</v>
      </c>
      <c r="N71" s="88">
        <f t="shared" si="9"/>
        <v>177013.37557015443</v>
      </c>
      <c r="O71" s="88">
        <f t="shared" si="10"/>
        <v>4500</v>
      </c>
      <c r="P71" s="88">
        <f t="shared" si="11"/>
        <v>7080.535022806177</v>
      </c>
      <c r="Q71" s="99">
        <f t="shared" si="12"/>
        <v>188593.9105929606</v>
      </c>
      <c r="S71" s="58">
        <f t="shared" si="13"/>
        <v>2023</v>
      </c>
      <c r="T71" s="52">
        <f t="shared" si="13"/>
        <v>62</v>
      </c>
      <c r="U71" s="52">
        <f t="shared" si="14"/>
        <v>0</v>
      </c>
      <c r="V71" s="54">
        <f t="shared" si="15"/>
        <v>0</v>
      </c>
      <c r="W71" s="54">
        <f t="shared" si="16"/>
        <v>0</v>
      </c>
      <c r="X71" s="52">
        <f t="shared" si="17"/>
        <v>0</v>
      </c>
      <c r="Y71" s="48">
        <f t="shared" si="18"/>
        <v>0</v>
      </c>
      <c r="Z71" s="52">
        <f t="shared" si="19"/>
        <v>0</v>
      </c>
      <c r="AA71" s="53">
        <f t="shared" si="20"/>
        <v>0</v>
      </c>
      <c r="AB71" s="52"/>
      <c r="AC71" s="58">
        <f t="shared" si="21"/>
        <v>2023</v>
      </c>
      <c r="AD71" s="74">
        <f t="shared" si="22"/>
        <v>61</v>
      </c>
      <c r="AE71" s="74">
        <f t="shared" si="1"/>
        <v>12</v>
      </c>
      <c r="AF71" s="53">
        <f t="shared" si="2"/>
        <v>30000</v>
      </c>
      <c r="AH71" s="58">
        <f t="shared" si="33"/>
        <v>43</v>
      </c>
      <c r="AI71" s="17">
        <f t="shared" si="33"/>
        <v>107</v>
      </c>
      <c r="AJ71" s="40">
        <f t="shared" si="23"/>
        <v>-344532.71994808456</v>
      </c>
      <c r="AK71" s="51">
        <f t="shared" si="28"/>
        <v>14917.241820281928</v>
      </c>
      <c r="AL71" s="134">
        <f t="shared" si="24"/>
        <v>-17972.498088418328</v>
      </c>
      <c r="AM71" s="135">
        <f t="shared" si="25"/>
        <v>-377422.45985678484</v>
      </c>
    </row>
    <row r="72" spans="1:39" ht="15.75" thickBot="1">
      <c r="A72" s="14"/>
      <c r="B72" s="97">
        <f t="shared" si="32"/>
        <v>2024</v>
      </c>
      <c r="C72" s="88">
        <f t="shared" si="32"/>
        <v>62</v>
      </c>
      <c r="D72" s="89">
        <f t="shared" si="4"/>
        <v>1.8968798217970266</v>
      </c>
      <c r="E72" s="113">
        <f t="shared" ref="E72:E77" si="34">+E71</f>
        <v>3117.1666666666665</v>
      </c>
      <c r="F72" s="114">
        <v>12</v>
      </c>
      <c r="G72" s="115">
        <f t="shared" ref="G72:G77" si="35">+G71</f>
        <v>37406</v>
      </c>
      <c r="I72" s="97">
        <f t="shared" si="0"/>
        <v>2024</v>
      </c>
      <c r="J72" s="88">
        <f t="shared" si="6"/>
        <v>63</v>
      </c>
      <c r="K72" s="88">
        <f t="shared" si="7"/>
        <v>1</v>
      </c>
      <c r="L72" s="107">
        <f t="shared" si="26"/>
        <v>0.15</v>
      </c>
      <c r="M72" s="108">
        <f t="shared" si="8"/>
        <v>30000</v>
      </c>
      <c r="N72" s="88">
        <f t="shared" si="9"/>
        <v>188593.9105929606</v>
      </c>
      <c r="O72" s="88">
        <f t="shared" si="10"/>
        <v>4500</v>
      </c>
      <c r="P72" s="88">
        <f t="shared" si="11"/>
        <v>7543.7564237184242</v>
      </c>
      <c r="Q72" s="99">
        <f t="shared" si="12"/>
        <v>200637.66701667901</v>
      </c>
      <c r="S72" s="58">
        <f t="shared" si="13"/>
        <v>2024</v>
      </c>
      <c r="T72" s="52">
        <f t="shared" si="13"/>
        <v>63</v>
      </c>
      <c r="U72" s="52">
        <f t="shared" si="14"/>
        <v>0</v>
      </c>
      <c r="V72" s="54">
        <f t="shared" si="15"/>
        <v>0</v>
      </c>
      <c r="W72" s="54">
        <f t="shared" si="16"/>
        <v>0</v>
      </c>
      <c r="X72" s="52">
        <f t="shared" si="17"/>
        <v>0</v>
      </c>
      <c r="Y72" s="48">
        <f t="shared" si="18"/>
        <v>0</v>
      </c>
      <c r="Z72" s="52">
        <f t="shared" si="19"/>
        <v>0</v>
      </c>
      <c r="AA72" s="53">
        <f t="shared" si="20"/>
        <v>0</v>
      </c>
      <c r="AB72" s="52"/>
      <c r="AC72" s="58">
        <f t="shared" si="21"/>
        <v>2024</v>
      </c>
      <c r="AD72" s="74">
        <f t="shared" si="22"/>
        <v>62</v>
      </c>
      <c r="AE72" s="74">
        <f t="shared" si="1"/>
        <v>12</v>
      </c>
      <c r="AF72" s="53">
        <f t="shared" si="2"/>
        <v>30000</v>
      </c>
      <c r="AH72" s="58">
        <f t="shared" si="33"/>
        <v>44</v>
      </c>
      <c r="AI72" s="17">
        <f t="shared" si="33"/>
        <v>108</v>
      </c>
      <c r="AJ72" s="40">
        <f t="shared" si="23"/>
        <v>-377422.45985678484</v>
      </c>
      <c r="AK72" s="51">
        <f t="shared" si="28"/>
        <v>14917.241820281928</v>
      </c>
      <c r="AL72" s="134">
        <f t="shared" si="24"/>
        <v>-19616.985083853342</v>
      </c>
      <c r="AM72" s="135">
        <f t="shared" si="25"/>
        <v>-411956.68676092016</v>
      </c>
    </row>
    <row r="73" spans="1:39" ht="15.75" thickBot="1">
      <c r="A73" s="14"/>
      <c r="B73" s="97">
        <f t="shared" si="32"/>
        <v>2025</v>
      </c>
      <c r="C73" s="88">
        <f t="shared" si="32"/>
        <v>63</v>
      </c>
      <c r="D73" s="89">
        <f t="shared" si="4"/>
        <v>1.9253330191239819</v>
      </c>
      <c r="E73" s="113">
        <f t="shared" si="34"/>
        <v>3117.1666666666665</v>
      </c>
      <c r="F73" s="114">
        <v>12</v>
      </c>
      <c r="G73" s="115">
        <f t="shared" si="35"/>
        <v>37406</v>
      </c>
      <c r="I73" s="97">
        <f t="shared" si="0"/>
        <v>2025</v>
      </c>
      <c r="J73" s="88">
        <f t="shared" si="6"/>
        <v>64</v>
      </c>
      <c r="K73" s="88">
        <f t="shared" si="7"/>
        <v>0</v>
      </c>
      <c r="L73" s="107">
        <f t="shared" si="26"/>
        <v>0.15</v>
      </c>
      <c r="M73" s="108">
        <f t="shared" si="8"/>
        <v>30000</v>
      </c>
      <c r="N73" s="88">
        <f t="shared" si="9"/>
        <v>200637.66701667901</v>
      </c>
      <c r="O73" s="88">
        <f t="shared" si="10"/>
        <v>0</v>
      </c>
      <c r="P73" s="88">
        <f t="shared" si="11"/>
        <v>8025.5066806671612</v>
      </c>
      <c r="Q73" s="99">
        <f t="shared" si="12"/>
        <v>208663.17369734618</v>
      </c>
      <c r="S73" s="58">
        <f t="shared" si="13"/>
        <v>2025</v>
      </c>
      <c r="T73" s="52">
        <f t="shared" si="13"/>
        <v>64</v>
      </c>
      <c r="U73" s="52">
        <f t="shared" si="14"/>
        <v>1</v>
      </c>
      <c r="V73" s="54">
        <f t="shared" si="15"/>
        <v>0.15</v>
      </c>
      <c r="W73" s="54">
        <f t="shared" si="16"/>
        <v>0.15</v>
      </c>
      <c r="X73" s="52">
        <f t="shared" si="17"/>
        <v>0</v>
      </c>
      <c r="Y73" s="48">
        <f t="shared" si="18"/>
        <v>5610.9</v>
      </c>
      <c r="Z73" s="52">
        <f t="shared" si="19"/>
        <v>0</v>
      </c>
      <c r="AA73" s="53">
        <f t="shared" si="20"/>
        <v>5610.9</v>
      </c>
      <c r="AB73" s="52"/>
      <c r="AC73" s="58">
        <f t="shared" si="21"/>
        <v>2025</v>
      </c>
      <c r="AD73" s="74">
        <f t="shared" si="22"/>
        <v>63</v>
      </c>
      <c r="AE73" s="74">
        <f t="shared" si="1"/>
        <v>12</v>
      </c>
      <c r="AF73" s="53">
        <f t="shared" si="2"/>
        <v>37406</v>
      </c>
      <c r="AH73" s="58">
        <f t="shared" si="33"/>
        <v>45</v>
      </c>
      <c r="AI73" s="17">
        <f t="shared" si="33"/>
        <v>109</v>
      </c>
      <c r="AJ73" s="40">
        <f t="shared" si="23"/>
        <v>-411956.68676092016</v>
      </c>
      <c r="AK73" s="51">
        <f t="shared" si="28"/>
        <v>14917.241820281928</v>
      </c>
      <c r="AL73" s="134">
        <f t="shared" si="24"/>
        <v>-21343.696429060106</v>
      </c>
      <c r="AM73" s="135">
        <f t="shared" si="25"/>
        <v>-448217.62501026224</v>
      </c>
    </row>
    <row r="74" spans="1:39" ht="15.75" thickBot="1">
      <c r="A74" s="14"/>
      <c r="B74" s="97">
        <f t="shared" si="32"/>
        <v>2026</v>
      </c>
      <c r="C74" s="88">
        <f t="shared" si="32"/>
        <v>64</v>
      </c>
      <c r="D74" s="89">
        <f t="shared" si="4"/>
        <v>1.9542130144108414</v>
      </c>
      <c r="E74" s="113">
        <f t="shared" si="34"/>
        <v>3117.1666666666665</v>
      </c>
      <c r="F74" s="114">
        <v>12</v>
      </c>
      <c r="G74" s="115">
        <f t="shared" si="35"/>
        <v>37406</v>
      </c>
      <c r="I74" s="97">
        <f t="shared" si="0"/>
        <v>2026</v>
      </c>
      <c r="J74" s="88">
        <f t="shared" si="6"/>
        <v>65</v>
      </c>
      <c r="K74" s="88">
        <f t="shared" si="7"/>
        <v>0</v>
      </c>
      <c r="L74" s="107">
        <f t="shared" si="26"/>
        <v>0.15</v>
      </c>
      <c r="M74" s="108">
        <f t="shared" si="8"/>
        <v>30000</v>
      </c>
      <c r="N74" s="88">
        <f t="shared" si="9"/>
        <v>208663.17369734618</v>
      </c>
      <c r="O74" s="88">
        <f t="shared" si="10"/>
        <v>0</v>
      </c>
      <c r="P74" s="88">
        <f t="shared" si="11"/>
        <v>8346.526947893848</v>
      </c>
      <c r="Q74" s="99">
        <f t="shared" si="12"/>
        <v>217009.70064524002</v>
      </c>
      <c r="S74" s="58">
        <f t="shared" si="13"/>
        <v>2026</v>
      </c>
      <c r="T74" s="52">
        <f t="shared" si="13"/>
        <v>65</v>
      </c>
      <c r="U74" s="52">
        <f t="shared" si="14"/>
        <v>1</v>
      </c>
      <c r="V74" s="54">
        <f t="shared" si="15"/>
        <v>0.15</v>
      </c>
      <c r="W74" s="54">
        <f t="shared" si="16"/>
        <v>0.15</v>
      </c>
      <c r="X74" s="52">
        <f t="shared" si="17"/>
        <v>5610.9</v>
      </c>
      <c r="Y74" s="48">
        <f t="shared" si="18"/>
        <v>5610.9</v>
      </c>
      <c r="Z74" s="52">
        <f t="shared" si="19"/>
        <v>280.54500000000002</v>
      </c>
      <c r="AA74" s="53">
        <f t="shared" si="20"/>
        <v>11502.344999999999</v>
      </c>
      <c r="AB74" s="52"/>
      <c r="AC74" s="58">
        <f t="shared" si="21"/>
        <v>2026</v>
      </c>
      <c r="AD74" s="74">
        <f t="shared" si="22"/>
        <v>64</v>
      </c>
      <c r="AE74" s="74">
        <f t="shared" si="1"/>
        <v>12</v>
      </c>
      <c r="AF74" s="53">
        <f t="shared" si="2"/>
        <v>37406</v>
      </c>
      <c r="AH74" s="58">
        <f t="shared" si="33"/>
        <v>46</v>
      </c>
      <c r="AI74" s="17">
        <f t="shared" si="33"/>
        <v>110</v>
      </c>
      <c r="AJ74" s="40">
        <f t="shared" si="23"/>
        <v>-448217.62501026224</v>
      </c>
      <c r="AK74" s="51">
        <f t="shared" si="28"/>
        <v>14917.241820281928</v>
      </c>
      <c r="AL74" s="134">
        <f t="shared" si="24"/>
        <v>-23156.74334152721</v>
      </c>
      <c r="AM74" s="135">
        <f t="shared" si="25"/>
        <v>-486291.61017207138</v>
      </c>
    </row>
    <row r="75" spans="1:39" ht="15.75" thickBot="1">
      <c r="A75" s="14"/>
      <c r="B75" s="97">
        <f t="shared" si="32"/>
        <v>2027</v>
      </c>
      <c r="C75" s="88">
        <f t="shared" si="32"/>
        <v>65</v>
      </c>
      <c r="D75" s="89">
        <f t="shared" si="4"/>
        <v>1.9835262096270039</v>
      </c>
      <c r="E75" s="113">
        <f t="shared" si="34"/>
        <v>3117.1666666666665</v>
      </c>
      <c r="F75" s="114">
        <v>12</v>
      </c>
      <c r="G75" s="115">
        <f t="shared" si="35"/>
        <v>37406</v>
      </c>
      <c r="I75" s="97">
        <f t="shared" si="0"/>
        <v>2027</v>
      </c>
      <c r="J75" s="88">
        <f t="shared" si="6"/>
        <v>66</v>
      </c>
      <c r="K75" s="88">
        <f t="shared" si="7"/>
        <v>0</v>
      </c>
      <c r="L75" s="107">
        <f t="shared" si="26"/>
        <v>0.15</v>
      </c>
      <c r="M75" s="108">
        <f t="shared" si="8"/>
        <v>30000</v>
      </c>
      <c r="N75" s="88">
        <f t="shared" si="9"/>
        <v>217009.70064524002</v>
      </c>
      <c r="O75" s="88">
        <f t="shared" si="10"/>
        <v>0</v>
      </c>
      <c r="P75" s="88">
        <f t="shared" si="11"/>
        <v>8680.3880258096015</v>
      </c>
      <c r="Q75" s="99">
        <f t="shared" si="12"/>
        <v>225690.08867104963</v>
      </c>
      <c r="S75" s="58">
        <f t="shared" si="13"/>
        <v>2027</v>
      </c>
      <c r="T75" s="52">
        <f t="shared" si="13"/>
        <v>66</v>
      </c>
      <c r="U75" s="52">
        <f t="shared" si="14"/>
        <v>1</v>
      </c>
      <c r="V75" s="54">
        <f t="shared" si="15"/>
        <v>0.15</v>
      </c>
      <c r="W75" s="54">
        <f t="shared" si="16"/>
        <v>0.15</v>
      </c>
      <c r="X75" s="52">
        <f t="shared" si="17"/>
        <v>11502.344999999999</v>
      </c>
      <c r="Y75" s="48">
        <f t="shared" si="18"/>
        <v>5610.9</v>
      </c>
      <c r="Z75" s="52">
        <f t="shared" si="19"/>
        <v>575.11725000000001</v>
      </c>
      <c r="AA75" s="53">
        <f t="shared" si="20"/>
        <v>17688.362249999998</v>
      </c>
      <c r="AB75" s="52"/>
      <c r="AC75" s="58">
        <f t="shared" si="21"/>
        <v>2027</v>
      </c>
      <c r="AD75" s="74">
        <f t="shared" si="22"/>
        <v>65</v>
      </c>
      <c r="AE75" s="74">
        <f t="shared" si="1"/>
        <v>0</v>
      </c>
      <c r="AF75" s="53">
        <f t="shared" si="2"/>
        <v>0</v>
      </c>
      <c r="AH75" s="58">
        <f t="shared" si="33"/>
        <v>47</v>
      </c>
      <c r="AI75" s="17">
        <f t="shared" si="33"/>
        <v>111</v>
      </c>
      <c r="AJ75" s="40">
        <f t="shared" si="23"/>
        <v>-486291.61017207138</v>
      </c>
      <c r="AK75" s="51">
        <f t="shared" si="28"/>
        <v>14917.241820281928</v>
      </c>
      <c r="AL75" s="134">
        <f t="shared" si="24"/>
        <v>-25060.442599617669</v>
      </c>
      <c r="AM75" s="135">
        <f t="shared" si="25"/>
        <v>-526269.29459197097</v>
      </c>
    </row>
    <row r="76" spans="1:39" ht="15.75" thickBot="1">
      <c r="A76" s="14"/>
      <c r="B76" s="97">
        <f t="shared" si="32"/>
        <v>2028</v>
      </c>
      <c r="C76" s="88">
        <f t="shared" si="32"/>
        <v>66</v>
      </c>
      <c r="D76" s="89">
        <f t="shared" si="4"/>
        <v>2.0132791027714085</v>
      </c>
      <c r="E76" s="113">
        <f t="shared" si="34"/>
        <v>3117.1666666666665</v>
      </c>
      <c r="F76" s="114">
        <v>12</v>
      </c>
      <c r="G76" s="115">
        <f t="shared" si="35"/>
        <v>37406</v>
      </c>
      <c r="I76" s="97">
        <f t="shared" si="0"/>
        <v>2028</v>
      </c>
      <c r="J76" s="88">
        <f t="shared" si="6"/>
        <v>67</v>
      </c>
      <c r="K76" s="88">
        <f t="shared" si="7"/>
        <v>0</v>
      </c>
      <c r="L76" s="107">
        <f t="shared" si="26"/>
        <v>0.15</v>
      </c>
      <c r="M76" s="108">
        <f t="shared" si="8"/>
        <v>30000</v>
      </c>
      <c r="N76" s="88">
        <f t="shared" si="9"/>
        <v>225690.08867104963</v>
      </c>
      <c r="O76" s="88">
        <f t="shared" si="10"/>
        <v>0</v>
      </c>
      <c r="P76" s="88">
        <f t="shared" si="11"/>
        <v>9027.603546841985</v>
      </c>
      <c r="Q76" s="99">
        <f t="shared" si="12"/>
        <v>234717.6922178916</v>
      </c>
      <c r="S76" s="58">
        <f t="shared" si="13"/>
        <v>2028</v>
      </c>
      <c r="T76" s="52">
        <f t="shared" si="13"/>
        <v>67</v>
      </c>
      <c r="U76" s="52">
        <f t="shared" si="14"/>
        <v>1</v>
      </c>
      <c r="V76" s="54">
        <f t="shared" si="15"/>
        <v>0.15</v>
      </c>
      <c r="W76" s="54">
        <f t="shared" si="16"/>
        <v>0.15</v>
      </c>
      <c r="X76" s="52">
        <f t="shared" si="17"/>
        <v>17688.362249999998</v>
      </c>
      <c r="Y76" s="48">
        <f t="shared" si="18"/>
        <v>5610.9</v>
      </c>
      <c r="Z76" s="52">
        <f t="shared" si="19"/>
        <v>884.41811250000001</v>
      </c>
      <c r="AA76" s="53">
        <f t="shared" si="20"/>
        <v>24183.680362499999</v>
      </c>
      <c r="AB76" s="52"/>
      <c r="AC76" s="58">
        <f t="shared" si="21"/>
        <v>2028</v>
      </c>
      <c r="AD76" s="74">
        <f t="shared" si="22"/>
        <v>66</v>
      </c>
      <c r="AE76" s="74">
        <f t="shared" si="1"/>
        <v>0</v>
      </c>
      <c r="AF76" s="53">
        <f t="shared" si="2"/>
        <v>0</v>
      </c>
      <c r="AH76" s="58">
        <f t="shared" si="33"/>
        <v>48</v>
      </c>
      <c r="AI76" s="17">
        <f t="shared" si="33"/>
        <v>112</v>
      </c>
      <c r="AJ76" s="40">
        <f t="shared" si="23"/>
        <v>-526269.29459197097</v>
      </c>
      <c r="AK76" s="51">
        <f t="shared" si="28"/>
        <v>14917.241820281928</v>
      </c>
      <c r="AL76" s="134">
        <f t="shared" si="24"/>
        <v>-27059.326820612649</v>
      </c>
      <c r="AM76" s="135">
        <f t="shared" si="25"/>
        <v>-568245.86323286558</v>
      </c>
    </row>
    <row r="77" spans="1:39" ht="15.75" thickBot="1">
      <c r="A77" s="14"/>
      <c r="B77" s="100">
        <f t="shared" si="32"/>
        <v>2029</v>
      </c>
      <c r="C77" s="101">
        <f t="shared" si="32"/>
        <v>67</v>
      </c>
      <c r="D77" s="102">
        <f t="shared" si="4"/>
        <v>2.0434782893129793</v>
      </c>
      <c r="E77" s="113">
        <f t="shared" si="34"/>
        <v>3117.1666666666665</v>
      </c>
      <c r="F77" s="114">
        <v>12</v>
      </c>
      <c r="G77" s="115">
        <f t="shared" si="35"/>
        <v>37406</v>
      </c>
      <c r="I77" s="100">
        <f t="shared" si="0"/>
        <v>2029</v>
      </c>
      <c r="J77" s="101">
        <f t="shared" si="6"/>
        <v>68</v>
      </c>
      <c r="K77" s="101">
        <f t="shared" si="7"/>
        <v>0</v>
      </c>
      <c r="L77" s="109">
        <f t="shared" si="26"/>
        <v>0.15</v>
      </c>
      <c r="M77" s="110">
        <f t="shared" si="8"/>
        <v>30000</v>
      </c>
      <c r="N77" s="101">
        <f t="shared" si="9"/>
        <v>234717.6922178916</v>
      </c>
      <c r="O77" s="101">
        <f t="shared" si="10"/>
        <v>0</v>
      </c>
      <c r="P77" s="101">
        <f t="shared" si="11"/>
        <v>9388.7076887156636</v>
      </c>
      <c r="Q77" s="103">
        <f t="shared" si="12"/>
        <v>244106.39990660726</v>
      </c>
      <c r="S77" s="59">
        <f t="shared" si="13"/>
        <v>2029</v>
      </c>
      <c r="T77" s="67">
        <f t="shared" si="13"/>
        <v>68</v>
      </c>
      <c r="U77" s="67">
        <f t="shared" si="14"/>
        <v>1</v>
      </c>
      <c r="V77" s="68">
        <f t="shared" si="15"/>
        <v>0.15</v>
      </c>
      <c r="W77" s="68">
        <f t="shared" si="16"/>
        <v>0.15</v>
      </c>
      <c r="X77" s="55">
        <f t="shared" si="17"/>
        <v>24183.680362499999</v>
      </c>
      <c r="Y77" s="48">
        <f t="shared" si="18"/>
        <v>5610.9</v>
      </c>
      <c r="Z77" s="55">
        <f t="shared" si="19"/>
        <v>1209.184018125</v>
      </c>
      <c r="AA77" s="69">
        <f t="shared" si="20"/>
        <v>31003.764380624998</v>
      </c>
      <c r="AB77" s="52"/>
      <c r="AC77" s="59">
        <f t="shared" si="21"/>
        <v>2029</v>
      </c>
      <c r="AD77" s="76">
        <f t="shared" si="22"/>
        <v>67</v>
      </c>
      <c r="AE77" s="76">
        <f t="shared" si="1"/>
        <v>0</v>
      </c>
      <c r="AF77" s="70">
        <f t="shared" si="2"/>
        <v>0</v>
      </c>
      <c r="AH77" s="59">
        <f t="shared" si="33"/>
        <v>49</v>
      </c>
      <c r="AI77" s="79">
        <f t="shared" si="33"/>
        <v>113</v>
      </c>
      <c r="AJ77" s="80">
        <f t="shared" si="23"/>
        <v>-568245.86323286558</v>
      </c>
      <c r="AK77" s="56">
        <f t="shared" si="28"/>
        <v>14917.241820281928</v>
      </c>
      <c r="AL77" s="136">
        <f t="shared" si="24"/>
        <v>-29158.15525265738</v>
      </c>
      <c r="AM77" s="137">
        <f t="shared" si="25"/>
        <v>-612321.2603058049</v>
      </c>
    </row>
    <row r="78" spans="1:39" ht="15" thickTop="1"/>
  </sheetData>
  <mergeCells count="4">
    <mergeCell ref="D24:E24"/>
    <mergeCell ref="B26:G26"/>
    <mergeCell ref="I26:Q26"/>
    <mergeCell ref="S26:AA26"/>
  </mergeCells>
  <pageMargins left="0.31496062992125984" right="0.31496062992125984" top="0.35433070866141736" bottom="0.35433070866141736" header="0.31496062992125984" footer="0"/>
  <pageSetup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614C-13FF-4B57-BAB2-3DE0A1136497}">
  <dimension ref="A2:X17"/>
  <sheetViews>
    <sheetView tabSelected="1" topLeftCell="P9" zoomScale="126" zoomScaleNormal="126" workbookViewId="0">
      <selection activeCell="W9" sqref="W9"/>
    </sheetView>
  </sheetViews>
  <sheetFormatPr baseColWidth="10" defaultRowHeight="14.25"/>
  <cols>
    <col min="1" max="1" width="16.5" style="199" bestFit="1" customWidth="1"/>
    <col min="2" max="2" width="18.625" style="199" bestFit="1" customWidth="1"/>
    <col min="3" max="6" width="11.5" style="199"/>
    <col min="7" max="8" width="13.5" style="199" customWidth="1"/>
    <col min="9" max="12" width="11.5" style="199"/>
    <col min="13" max="13" width="20.375" style="199" customWidth="1"/>
    <col min="14" max="15" width="18" style="199" customWidth="1"/>
    <col min="16" max="16" width="15.5" style="199" customWidth="1"/>
    <col min="17" max="17" width="17.25" style="199" customWidth="1"/>
    <col min="18" max="19" width="15.125" style="199" customWidth="1"/>
    <col min="20" max="20" width="13.125" customWidth="1"/>
    <col min="21" max="21" width="12.75" customWidth="1"/>
    <col min="22" max="22" width="11.875" customWidth="1"/>
  </cols>
  <sheetData>
    <row r="2" spans="1:24" ht="15">
      <c r="A2" s="21" t="s">
        <v>30</v>
      </c>
      <c r="B2" s="168" t="s">
        <v>0</v>
      </c>
    </row>
    <row r="3" spans="1:24" ht="30">
      <c r="A3" s="21" t="s">
        <v>31</v>
      </c>
      <c r="B3" s="168">
        <v>22</v>
      </c>
      <c r="E3" s="257" t="s">
        <v>222</v>
      </c>
      <c r="F3" s="257" t="s">
        <v>224</v>
      </c>
      <c r="G3" s="257" t="s">
        <v>223</v>
      </c>
      <c r="H3" s="199" t="s">
        <v>228</v>
      </c>
    </row>
    <row r="4" spans="1:24" ht="57.75">
      <c r="A4" s="21" t="s">
        <v>54</v>
      </c>
      <c r="B4" s="168">
        <v>62</v>
      </c>
      <c r="E4" s="250" t="s">
        <v>220</v>
      </c>
      <c r="F4" s="254" t="s">
        <v>218</v>
      </c>
      <c r="G4" s="250"/>
      <c r="H4" s="199" t="s">
        <v>227</v>
      </c>
      <c r="I4" t="s">
        <v>225</v>
      </c>
    </row>
    <row r="5" spans="1:24" ht="42.75">
      <c r="A5" s="21" t="s">
        <v>188</v>
      </c>
      <c r="B5" s="244">
        <f>+B4-B3</f>
        <v>40</v>
      </c>
      <c r="E5" s="251" t="s">
        <v>217</v>
      </c>
      <c r="F5" s="255" t="s">
        <v>218</v>
      </c>
      <c r="G5" s="255" t="s">
        <v>219</v>
      </c>
      <c r="H5" s="199" t="s">
        <v>227</v>
      </c>
      <c r="I5" t="s">
        <v>226</v>
      </c>
    </row>
    <row r="6" spans="1:24" ht="43.5">
      <c r="A6" s="21" t="s">
        <v>46</v>
      </c>
      <c r="B6" s="239">
        <v>0.04</v>
      </c>
      <c r="E6" s="252" t="s">
        <v>221</v>
      </c>
      <c r="F6" s="252"/>
      <c r="G6" s="256" t="s">
        <v>219</v>
      </c>
    </row>
    <row r="7" spans="1:24" ht="60">
      <c r="A7" s="21" t="s">
        <v>209</v>
      </c>
      <c r="B7" s="245">
        <v>5.1543311842568507</v>
      </c>
      <c r="R7" s="253"/>
    </row>
    <row r="8" spans="1:24" ht="15" thickBot="1"/>
    <row r="9" spans="1:24" ht="129.75" thickTop="1" thickBot="1">
      <c r="A9" s="222" t="s">
        <v>189</v>
      </c>
      <c r="B9" s="222" t="s">
        <v>202</v>
      </c>
      <c r="C9" s="222" t="s">
        <v>203</v>
      </c>
      <c r="D9" s="222" t="s">
        <v>204</v>
      </c>
      <c r="E9" s="222" t="s">
        <v>205</v>
      </c>
      <c r="F9" s="222" t="s">
        <v>213</v>
      </c>
      <c r="G9" s="222" t="s">
        <v>214</v>
      </c>
      <c r="H9" s="222" t="s">
        <v>229</v>
      </c>
      <c r="I9" s="222" t="s">
        <v>211</v>
      </c>
      <c r="J9" s="222" t="s">
        <v>215</v>
      </c>
      <c r="K9" s="222" t="s">
        <v>206</v>
      </c>
      <c r="L9" s="222" t="s">
        <v>207</v>
      </c>
      <c r="M9" s="222" t="s">
        <v>216</v>
      </c>
      <c r="N9" s="222" t="s">
        <v>212</v>
      </c>
      <c r="O9" s="222" t="s">
        <v>210</v>
      </c>
      <c r="P9" s="222" t="s">
        <v>230</v>
      </c>
      <c r="Q9" s="259" t="s">
        <v>238</v>
      </c>
      <c r="R9" s="260" t="s">
        <v>237</v>
      </c>
      <c r="S9" s="258" t="s">
        <v>236</v>
      </c>
      <c r="T9" s="259" t="s">
        <v>235</v>
      </c>
      <c r="U9" s="260" t="s">
        <v>233</v>
      </c>
      <c r="V9" s="261" t="s">
        <v>234</v>
      </c>
      <c r="W9" s="262" t="s">
        <v>231</v>
      </c>
      <c r="X9" s="262" t="s">
        <v>232</v>
      </c>
    </row>
    <row r="10" spans="1:24" ht="16.5" thickTop="1" thickBot="1">
      <c r="A10" s="242">
        <v>700</v>
      </c>
      <c r="B10" s="240">
        <v>6</v>
      </c>
      <c r="C10" s="223">
        <f>+B5</f>
        <v>40</v>
      </c>
      <c r="D10" s="223">
        <f>+B10*C10</f>
        <v>240</v>
      </c>
      <c r="E10" s="224">
        <f>+D10/12</f>
        <v>20</v>
      </c>
      <c r="F10" s="225">
        <f>+B10*A10</f>
        <v>4200</v>
      </c>
      <c r="G10" s="225">
        <f>+IF(A10&gt;500,500*B10,A10*B10)</f>
        <v>3000</v>
      </c>
      <c r="H10" s="225">
        <f>+F10-G10</f>
        <v>1200</v>
      </c>
      <c r="I10" s="225">
        <f>0.15*F10</f>
        <v>630</v>
      </c>
      <c r="J10" s="225">
        <f>+H10*0.1</f>
        <v>120</v>
      </c>
      <c r="K10" s="225">
        <f t="shared" ref="K10:L14" si="0">+F10</f>
        <v>4200</v>
      </c>
      <c r="L10" s="225">
        <f t="shared" si="0"/>
        <v>3000</v>
      </c>
      <c r="M10" s="225">
        <f>(60%*G10+1.25%*(E10-20)*G10)/12</f>
        <v>150</v>
      </c>
      <c r="N10" s="225">
        <f>+(((1+$B$6)^C10-1)/$B$6)*J10</f>
        <v>11403.061883809978</v>
      </c>
      <c r="O10" s="225">
        <f>+N10*0.001*$B$7</f>
        <v>58.775157463732441</v>
      </c>
      <c r="P10" s="225">
        <f>+(((1+$B$6)^C10-1)/$B$6)*I10</f>
        <v>59866.074890002383</v>
      </c>
      <c r="Q10" s="246">
        <f>+P10*0.001*$B$7</f>
        <v>308.56957668459529</v>
      </c>
      <c r="R10" s="243">
        <f>+O10+M10</f>
        <v>208.77515746373246</v>
      </c>
      <c r="S10" s="247">
        <f>(60%*F10+1.25%*(E10-20)*F10)/12</f>
        <v>210</v>
      </c>
      <c r="T10" s="248">
        <f>+IFERROR((Q10*12)/$K10,0)</f>
        <v>0.88162736195598657</v>
      </c>
      <c r="U10" s="235">
        <f>+IFERROR((R10*12)/$K10,0)</f>
        <v>0.5965004498963784</v>
      </c>
      <c r="V10" s="249">
        <f>+IFERROR(S10*12/K10,0)</f>
        <v>0.6</v>
      </c>
      <c r="W10" s="223">
        <f>+C10</f>
        <v>40</v>
      </c>
      <c r="X10" s="224">
        <f>+E10</f>
        <v>20</v>
      </c>
    </row>
    <row r="11" spans="1:24" ht="16.5" thickTop="1" thickBot="1">
      <c r="A11" s="226">
        <f>+A10</f>
        <v>700</v>
      </c>
      <c r="B11" s="241">
        <v>7.5</v>
      </c>
      <c r="C11" s="223">
        <f>+C10</f>
        <v>40</v>
      </c>
      <c r="D11" s="223">
        <f>+B11*C11</f>
        <v>300</v>
      </c>
      <c r="E11" s="224">
        <f>+D11/12</f>
        <v>25</v>
      </c>
      <c r="F11" s="226">
        <f>+B11*A11</f>
        <v>5250</v>
      </c>
      <c r="G11" s="225">
        <f>+IF(A11&gt;500,500*B11,A11*B11)</f>
        <v>3750</v>
      </c>
      <c r="H11" s="226">
        <f>+F11-G11</f>
        <v>1500</v>
      </c>
      <c r="I11" s="225">
        <f>0.15*F11</f>
        <v>787.5</v>
      </c>
      <c r="J11" s="226">
        <f t="shared" ref="J11:J14" si="1">+H11*0.1</f>
        <v>150</v>
      </c>
      <c r="K11" s="226">
        <f t="shared" si="0"/>
        <v>5250</v>
      </c>
      <c r="L11" s="225">
        <f t="shared" si="0"/>
        <v>3750</v>
      </c>
      <c r="M11" s="226">
        <f>(60%*G11+1.25%*(E11-20)*G11)/12</f>
        <v>207.03125</v>
      </c>
      <c r="N11" s="226">
        <f t="shared" ref="N11:N14" si="2">+(((1+$B$6)^C11-1)/$B$6)*J11</f>
        <v>14253.827354762472</v>
      </c>
      <c r="O11" s="225">
        <f t="shared" ref="O11:O14" si="3">+N11*0.001*$B$7</f>
        <v>73.468946829665555</v>
      </c>
      <c r="P11" s="225">
        <f>+(((1+$B$6)^C11-1)/$B$6)*I11</f>
        <v>74832.593612502984</v>
      </c>
      <c r="Q11" s="246">
        <f>+P11*0.001*$B$7</f>
        <v>385.7119708557442</v>
      </c>
      <c r="R11" s="243">
        <f>+O11+M11</f>
        <v>280.50019682966558</v>
      </c>
      <c r="S11" s="247">
        <f>(60%*F11+1.25%*(E11-20)*F11)/12</f>
        <v>289.84375</v>
      </c>
      <c r="T11" s="248">
        <f t="shared" ref="T11:T14" si="4">+IFERROR((Q11*12)/$K11,0)</f>
        <v>0.88162736195598668</v>
      </c>
      <c r="U11" s="235">
        <f t="shared" ref="U11:U14" si="5">+IFERROR((R11*12)/$K11,0)</f>
        <v>0.64114330703923561</v>
      </c>
      <c r="V11" s="249">
        <f t="shared" ref="V11:V14" si="6">+IFERROR(S11*12/K11,0)</f>
        <v>0.66249999999999998</v>
      </c>
      <c r="W11" s="223">
        <f t="shared" ref="W11:W14" si="7">+C11</f>
        <v>40</v>
      </c>
      <c r="X11" s="224">
        <f t="shared" ref="X11:X14" si="8">+E11</f>
        <v>25</v>
      </c>
    </row>
    <row r="12" spans="1:24" ht="16.5" thickTop="1" thickBot="1">
      <c r="A12" s="226">
        <f t="shared" ref="A12:A14" si="9">+A11</f>
        <v>700</v>
      </c>
      <c r="B12" s="241">
        <v>9</v>
      </c>
      <c r="C12" s="223">
        <f>+C11</f>
        <v>40</v>
      </c>
      <c r="D12" s="223">
        <f>+B12*C12</f>
        <v>360</v>
      </c>
      <c r="E12" s="224">
        <f>+D12/12</f>
        <v>30</v>
      </c>
      <c r="F12" s="226">
        <f>+B12*A12</f>
        <v>6300</v>
      </c>
      <c r="G12" s="225">
        <f>+IF(A12&gt;500,500*B12,A12*B12)</f>
        <v>4500</v>
      </c>
      <c r="H12" s="226">
        <f>+F12-G12</f>
        <v>1800</v>
      </c>
      <c r="I12" s="225">
        <f>0.15*F12</f>
        <v>945</v>
      </c>
      <c r="J12" s="226">
        <f t="shared" si="1"/>
        <v>180</v>
      </c>
      <c r="K12" s="226">
        <f t="shared" si="0"/>
        <v>6300</v>
      </c>
      <c r="L12" s="225">
        <f t="shared" si="0"/>
        <v>4500</v>
      </c>
      <c r="M12" s="226">
        <f>(60%*G12+1.25%*(E12-20)*G12)/12</f>
        <v>271.875</v>
      </c>
      <c r="N12" s="226">
        <f t="shared" si="2"/>
        <v>17104.592825714968</v>
      </c>
      <c r="O12" s="225">
        <f t="shared" si="3"/>
        <v>88.162736195598654</v>
      </c>
      <c r="P12" s="225">
        <f>+(((1+$B$6)^C12-1)/$B$6)*I12</f>
        <v>89799.112335003578</v>
      </c>
      <c r="Q12" s="246">
        <f>+P12*0.001*$B$7</f>
        <v>462.85436502689299</v>
      </c>
      <c r="R12" s="243">
        <f>+O12+M12</f>
        <v>360.03773619559865</v>
      </c>
      <c r="S12" s="247">
        <f>(60%*F12+1.25%*(E12-20)*F12)/12</f>
        <v>380.625</v>
      </c>
      <c r="T12" s="248">
        <f t="shared" si="4"/>
        <v>0.88162736195598668</v>
      </c>
      <c r="U12" s="235">
        <f t="shared" si="5"/>
        <v>0.68578616418209271</v>
      </c>
      <c r="V12" s="249">
        <f t="shared" si="6"/>
        <v>0.72499999999999998</v>
      </c>
      <c r="W12" s="223">
        <f t="shared" si="7"/>
        <v>40</v>
      </c>
      <c r="X12" s="224">
        <f t="shared" si="8"/>
        <v>30</v>
      </c>
    </row>
    <row r="13" spans="1:24" ht="16.5" thickTop="1" thickBot="1">
      <c r="A13" s="226">
        <f t="shared" si="9"/>
        <v>700</v>
      </c>
      <c r="B13" s="241">
        <v>10.5</v>
      </c>
      <c r="C13" s="223">
        <f>+C12</f>
        <v>40</v>
      </c>
      <c r="D13" s="223">
        <f>+B13*C13</f>
        <v>420</v>
      </c>
      <c r="E13" s="224">
        <f>+D13/12</f>
        <v>35</v>
      </c>
      <c r="F13" s="226">
        <f>+B13*A13</f>
        <v>7350</v>
      </c>
      <c r="G13" s="225">
        <f>+IF(A13&gt;500,500*B13,A13*B13)</f>
        <v>5250</v>
      </c>
      <c r="H13" s="226">
        <f>+F13-G13</f>
        <v>2100</v>
      </c>
      <c r="I13" s="225">
        <f>0.15*F13</f>
        <v>1102.5</v>
      </c>
      <c r="J13" s="226">
        <f t="shared" si="1"/>
        <v>210</v>
      </c>
      <c r="K13" s="226">
        <f t="shared" si="0"/>
        <v>7350</v>
      </c>
      <c r="L13" s="225">
        <f t="shared" si="0"/>
        <v>5250</v>
      </c>
      <c r="M13" s="226">
        <f>(60%*G13+1.25%*(E13-20)*G13)/12</f>
        <v>344.53125</v>
      </c>
      <c r="N13" s="226">
        <f t="shared" si="2"/>
        <v>19955.358296667462</v>
      </c>
      <c r="O13" s="225">
        <f t="shared" si="3"/>
        <v>102.85652556153177</v>
      </c>
      <c r="P13" s="225">
        <f>+(((1+$B$6)^C13-1)/$B$6)*I13</f>
        <v>104765.63105750417</v>
      </c>
      <c r="Q13" s="246">
        <f>+P13*0.001*$B$7</f>
        <v>539.99675919804179</v>
      </c>
      <c r="R13" s="243">
        <f>+O13+M13</f>
        <v>447.38777556153178</v>
      </c>
      <c r="S13" s="247">
        <f>(60%*F13+1.25%*(E13-20)*F13)/12</f>
        <v>482.34375</v>
      </c>
      <c r="T13" s="248">
        <f t="shared" si="4"/>
        <v>0.88162736195598668</v>
      </c>
      <c r="U13" s="235">
        <f t="shared" si="5"/>
        <v>0.73042902132494991</v>
      </c>
      <c r="V13" s="249">
        <f t="shared" si="6"/>
        <v>0.78749999999999998</v>
      </c>
      <c r="W13" s="223">
        <f t="shared" si="7"/>
        <v>40</v>
      </c>
      <c r="X13" s="224">
        <f t="shared" si="8"/>
        <v>35</v>
      </c>
    </row>
    <row r="14" spans="1:24" ht="16.5" thickTop="1" thickBot="1">
      <c r="A14" s="226">
        <f t="shared" si="9"/>
        <v>700</v>
      </c>
      <c r="B14" s="241">
        <v>12</v>
      </c>
      <c r="C14" s="223">
        <f>+C13</f>
        <v>40</v>
      </c>
      <c r="D14" s="223">
        <f>+B14*C14</f>
        <v>480</v>
      </c>
      <c r="E14" s="224">
        <f>+D14/12</f>
        <v>40</v>
      </c>
      <c r="F14" s="226">
        <f>+B14*A14</f>
        <v>8400</v>
      </c>
      <c r="G14" s="225">
        <f>+IF(A14&gt;500,500*B14,A14*B14)</f>
        <v>6000</v>
      </c>
      <c r="H14" s="226">
        <f>+F14-G14</f>
        <v>2400</v>
      </c>
      <c r="I14" s="225">
        <f>0.15*F14</f>
        <v>1260</v>
      </c>
      <c r="J14" s="226">
        <f t="shared" si="1"/>
        <v>240</v>
      </c>
      <c r="K14" s="226">
        <f t="shared" si="0"/>
        <v>8400</v>
      </c>
      <c r="L14" s="225">
        <f t="shared" si="0"/>
        <v>6000</v>
      </c>
      <c r="M14" s="226">
        <f>(60%*G14+1.25%*(E14-20)*G14)/12</f>
        <v>425</v>
      </c>
      <c r="N14" s="226">
        <f t="shared" si="2"/>
        <v>22806.123767619956</v>
      </c>
      <c r="O14" s="225">
        <f t="shared" si="3"/>
        <v>117.55031492746488</v>
      </c>
      <c r="P14" s="225">
        <f>+(((1+$B$6)^C14-1)/$B$6)*I14</f>
        <v>119732.14978000477</v>
      </c>
      <c r="Q14" s="246">
        <f>+P14*0.001*$B$7</f>
        <v>617.13915336919058</v>
      </c>
      <c r="R14" s="243">
        <f>+O14+M14</f>
        <v>542.55031492746491</v>
      </c>
      <c r="S14" s="247">
        <f>(60%*F14+1.25%*(E14-20)*F14)/12</f>
        <v>595</v>
      </c>
      <c r="T14" s="248">
        <f t="shared" si="4"/>
        <v>0.88162736195598657</v>
      </c>
      <c r="U14" s="235">
        <f t="shared" si="5"/>
        <v>0.77507187846780701</v>
      </c>
      <c r="V14" s="249">
        <f t="shared" si="6"/>
        <v>0.85</v>
      </c>
      <c r="W14" s="223">
        <f t="shared" si="7"/>
        <v>40</v>
      </c>
      <c r="X14" s="224">
        <f t="shared" si="8"/>
        <v>40</v>
      </c>
    </row>
    <row r="17" spans="1:1">
      <c r="A17" t="s">
        <v>208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919C-D481-4E25-A208-273DE1A38A29}">
  <dimension ref="A1:BN95"/>
  <sheetViews>
    <sheetView topLeftCell="N11" workbookViewId="0">
      <selection activeCell="V23" sqref="V23:X23"/>
    </sheetView>
  </sheetViews>
  <sheetFormatPr baseColWidth="10" defaultColWidth="11.5" defaultRowHeight="14.25"/>
  <cols>
    <col min="2" max="2" width="14.625" style="20" bestFit="1" customWidth="1"/>
    <col min="3" max="3" width="7.5" style="20" customWidth="1"/>
    <col min="4" max="4" width="10.375" style="20" customWidth="1"/>
    <col min="5" max="5" width="10.5" style="22" bestFit="1" customWidth="1"/>
    <col min="6" max="6" width="11.375" style="22" customWidth="1"/>
    <col min="7" max="7" width="8.875" style="189" bestFit="1" customWidth="1"/>
    <col min="8" max="8" width="9.625" style="194" bestFit="1" customWidth="1"/>
    <col min="9" max="9" width="16.875" customWidth="1"/>
    <col min="10" max="10" width="15.375" bestFit="1" customWidth="1"/>
    <col min="11" max="11" width="21.375" customWidth="1"/>
    <col min="15" max="15" width="10.625" customWidth="1"/>
    <col min="16" max="16" width="3.375" style="194" customWidth="1"/>
    <col min="17" max="17" width="4.625" bestFit="1" customWidth="1"/>
    <col min="18" max="18" width="16.625" customWidth="1"/>
    <col min="19" max="19" width="15.125" customWidth="1"/>
    <col min="20" max="20" width="27.125" bestFit="1" customWidth="1"/>
    <col min="21" max="21" width="15.625" customWidth="1"/>
    <col min="22" max="22" width="16.375" customWidth="1"/>
    <col min="23" max="23" width="15.625" customWidth="1"/>
    <col min="24" max="24" width="12.5" customWidth="1"/>
    <col min="25" max="25" width="15.625" customWidth="1"/>
    <col min="26" max="26" width="3.375" style="194" customWidth="1"/>
    <col min="27" max="27" width="8.5" bestFit="1" customWidth="1"/>
    <col min="28" max="28" width="9" bestFit="1" customWidth="1"/>
    <col min="29" max="29" width="10.625" customWidth="1"/>
    <col min="30" max="30" width="8.625" bestFit="1" customWidth="1"/>
    <col min="31" max="31" width="11.375" bestFit="1" customWidth="1"/>
    <col min="32" max="32" width="13.625" bestFit="1" customWidth="1"/>
    <col min="33" max="33" width="16.375" bestFit="1" customWidth="1"/>
    <col min="34" max="34" width="11" bestFit="1" customWidth="1"/>
    <col min="35" max="35" width="8.625" bestFit="1" customWidth="1"/>
    <col min="36" max="36" width="3.5" customWidth="1"/>
    <col min="37" max="37" width="8.5" bestFit="1" customWidth="1"/>
    <col min="38" max="38" width="9" bestFit="1" customWidth="1"/>
    <col min="39" max="39" width="10.625" customWidth="1"/>
    <col min="40" max="40" width="10.125" bestFit="1" customWidth="1"/>
    <col min="41" max="41" width="10.625" bestFit="1" customWidth="1"/>
    <col min="42" max="42" width="21.5" bestFit="1" customWidth="1"/>
    <col min="43" max="43" width="11.875" bestFit="1" customWidth="1"/>
    <col min="44" max="44" width="9.125" bestFit="1" customWidth="1"/>
    <col min="45" max="45" width="10.125" bestFit="1" customWidth="1"/>
    <col min="46" max="46" width="11.375" customWidth="1"/>
    <col min="47" max="47" width="3.5" style="194" customWidth="1"/>
    <col min="49" max="49" width="10.5" bestFit="1" customWidth="1"/>
    <col min="54" max="54" width="13" bestFit="1" customWidth="1"/>
    <col min="58" max="58" width="6.375" customWidth="1"/>
    <col min="59" max="59" width="8.375" style="1" customWidth="1"/>
    <col min="65" max="65" width="12.5" bestFit="1" customWidth="1"/>
  </cols>
  <sheetData>
    <row r="1" spans="1:66" ht="23.25">
      <c r="B1" s="19" t="s">
        <v>29</v>
      </c>
      <c r="D1"/>
      <c r="E1" s="21"/>
      <c r="F1" s="21"/>
      <c r="G1" s="21"/>
      <c r="BH1" s="172" t="s">
        <v>99</v>
      </c>
      <c r="BI1" s="174"/>
      <c r="BJ1" s="174"/>
      <c r="BK1" s="173"/>
      <c r="BL1" s="173"/>
      <c r="BM1" s="173"/>
      <c r="BN1" s="173"/>
    </row>
    <row r="2" spans="1:66" ht="15">
      <c r="B2" t="s">
        <v>77</v>
      </c>
      <c r="D2"/>
      <c r="E2" s="21"/>
      <c r="F2" s="26">
        <v>1</v>
      </c>
      <c r="G2" s="162"/>
      <c r="BH2" t="s">
        <v>43</v>
      </c>
      <c r="BM2" s="163">
        <f>+SUM(K28:K76)</f>
        <v>240</v>
      </c>
    </row>
    <row r="3" spans="1:66" ht="30">
      <c r="B3" t="s">
        <v>30</v>
      </c>
      <c r="D3"/>
      <c r="E3" s="24"/>
      <c r="F3" s="201" t="str">
        <f>+salidaformulas!B2</f>
        <v>M</v>
      </c>
      <c r="Q3" s="267" t="s">
        <v>186</v>
      </c>
      <c r="R3" s="267"/>
      <c r="S3" s="267"/>
      <c r="T3" s="267"/>
      <c r="U3" s="267"/>
      <c r="V3" s="267"/>
      <c r="W3" s="267"/>
      <c r="X3" s="267"/>
      <c r="Y3" s="267"/>
      <c r="AA3" s="268" t="s">
        <v>187</v>
      </c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BH3" t="s">
        <v>82</v>
      </c>
      <c r="BM3" s="40">
        <f>+IF(BM2&gt;240,BM2-F13,0)</f>
        <v>0</v>
      </c>
    </row>
    <row r="4" spans="1:66" ht="30">
      <c r="B4" t="s">
        <v>31</v>
      </c>
      <c r="D4"/>
      <c r="E4" s="24"/>
      <c r="F4" s="200">
        <f>+salidaformulas!B3</f>
        <v>22</v>
      </c>
      <c r="I4" s="267" t="s">
        <v>185</v>
      </c>
      <c r="J4" s="267"/>
      <c r="K4" s="267"/>
      <c r="L4" s="267"/>
      <c r="M4" s="267"/>
      <c r="N4" s="267"/>
      <c r="O4" s="267"/>
      <c r="BH4" t="s">
        <v>119</v>
      </c>
      <c r="BK4" s="22"/>
      <c r="BL4" s="22"/>
      <c r="BM4" s="155">
        <f>IF(F7&lt;=7,BN4,BN4*AF13)</f>
        <v>0.6</v>
      </c>
      <c r="BN4" s="155">
        <f>IF(AND(BM2&gt;=180,BM2&lt;240),($F$14+INT(BM3/12)*$F$15)*BM2/240,IF(BM2&lt;180,0,($F$14+INT(BM3/12)*$F$15)))</f>
        <v>0.6</v>
      </c>
    </row>
    <row r="5" spans="1:66" ht="29.25">
      <c r="B5" t="s">
        <v>98</v>
      </c>
      <c r="D5"/>
      <c r="E5" s="24"/>
      <c r="F5" s="26">
        <f>+F4</f>
        <v>22</v>
      </c>
      <c r="J5" s="39" t="s">
        <v>136</v>
      </c>
      <c r="K5" t="s">
        <v>150</v>
      </c>
      <c r="S5" s="39" t="s">
        <v>136</v>
      </c>
      <c r="T5" t="s">
        <v>150</v>
      </c>
      <c r="BH5" s="20" t="s">
        <v>84</v>
      </c>
      <c r="BI5" s="22"/>
      <c r="BJ5" s="22"/>
      <c r="BM5" s="150">
        <f ca="1">+BM6*12</f>
        <v>3180</v>
      </c>
    </row>
    <row r="6" spans="1:66" ht="15">
      <c r="B6" s="162" t="s">
        <v>54</v>
      </c>
      <c r="D6"/>
      <c r="E6" s="24"/>
      <c r="F6" s="139">
        <f>+salidaformulas!B4</f>
        <v>62</v>
      </c>
      <c r="I6" t="s">
        <v>137</v>
      </c>
      <c r="J6" t="s">
        <v>149</v>
      </c>
      <c r="K6" t="s">
        <v>151</v>
      </c>
      <c r="R6" t="s">
        <v>137</v>
      </c>
      <c r="S6" t="s">
        <v>149</v>
      </c>
      <c r="T6" t="s">
        <v>151</v>
      </c>
      <c r="BH6" s="20" t="s">
        <v>85</v>
      </c>
      <c r="BI6" s="22"/>
      <c r="BJ6" s="22"/>
      <c r="BK6" s="34"/>
      <c r="BL6" s="34"/>
      <c r="BM6" s="152">
        <f ca="1">IF(BM2&gt;=240,MAX(MAX(BL8:BL10),265),MAX(BL8:BL10))</f>
        <v>265</v>
      </c>
      <c r="BN6" s="140"/>
    </row>
    <row r="7" spans="1:66" ht="15">
      <c r="B7" s="162" t="s">
        <v>184</v>
      </c>
      <c r="D7"/>
      <c r="E7" s="24"/>
      <c r="F7" s="139">
        <f>+F6-F5</f>
        <v>40</v>
      </c>
      <c r="I7">
        <v>1</v>
      </c>
      <c r="J7" s="40">
        <f>LARGE($G$28:$G$65,I7)</f>
        <v>4200</v>
      </c>
      <c r="K7" s="40">
        <f>LARGE($L$28:$L$65,I7)</f>
        <v>3000</v>
      </c>
      <c r="R7">
        <v>1</v>
      </c>
      <c r="S7" s="40">
        <f t="shared" ref="S7:T17" si="0">+J7</f>
        <v>4200</v>
      </c>
      <c r="T7" s="40">
        <f t="shared" si="0"/>
        <v>3000</v>
      </c>
      <c r="BL7" s="143" t="s">
        <v>127</v>
      </c>
      <c r="BM7" s="143" t="s">
        <v>133</v>
      </c>
      <c r="BN7" s="143" t="s">
        <v>132</v>
      </c>
    </row>
    <row r="8" spans="1:66" ht="15">
      <c r="B8" t="s">
        <v>61</v>
      </c>
      <c r="F8" s="28">
        <v>0.15</v>
      </c>
      <c r="I8">
        <v>2</v>
      </c>
      <c r="J8" s="40">
        <f t="shared" ref="J8:J16" si="1">LARGE($G$28:$G$65,I8)</f>
        <v>4200</v>
      </c>
      <c r="K8" s="40">
        <f t="shared" ref="K8:K16" si="2">LARGE($L$28:$L$65,I8)</f>
        <v>3000</v>
      </c>
      <c r="R8">
        <v>2</v>
      </c>
      <c r="S8" s="40">
        <f t="shared" si="0"/>
        <v>4200</v>
      </c>
      <c r="T8" s="40">
        <f t="shared" si="0"/>
        <v>3000</v>
      </c>
      <c r="BH8" s="263" t="s">
        <v>128</v>
      </c>
      <c r="BI8" s="263"/>
      <c r="BJ8" s="263"/>
      <c r="BK8" s="263"/>
      <c r="BL8" s="146">
        <f ca="1">+IF($BM$4*BM8/12&gt;1500,1500,$BM$4*BM8/12)</f>
        <v>210</v>
      </c>
      <c r="BM8" s="150" cm="1">
        <f t="array" aca="1" ref="BM8" ca="1">+AVERAGE(LARGE($G$28:$G$76,ROW(INDIRECT("1:10"))))</f>
        <v>4200</v>
      </c>
    </row>
    <row r="9" spans="1:66" ht="15">
      <c r="B9" t="s">
        <v>60</v>
      </c>
      <c r="F9" s="28">
        <v>0.13500000000000001</v>
      </c>
      <c r="I9">
        <v>3</v>
      </c>
      <c r="J9" s="40">
        <f t="shared" si="1"/>
        <v>4200</v>
      </c>
      <c r="K9" s="40">
        <f t="shared" si="2"/>
        <v>3000</v>
      </c>
      <c r="R9">
        <v>3</v>
      </c>
      <c r="S9" s="40">
        <f t="shared" si="0"/>
        <v>4200</v>
      </c>
      <c r="T9" s="40">
        <f t="shared" si="0"/>
        <v>3000</v>
      </c>
      <c r="BH9" s="266" t="s">
        <v>129</v>
      </c>
      <c r="BI9" s="266"/>
      <c r="BJ9" s="266"/>
      <c r="BK9" s="266"/>
      <c r="BL9" s="131">
        <f ca="1">+IF($BM$4*BM9/12&gt;2000,2000,$BM$4*BM9/12)</f>
        <v>0</v>
      </c>
      <c r="BM9" s="150" cm="1">
        <f t="array" aca="1" ref="BM9" ca="1">IF(AND(BM2&gt;300,AVERAGE(LARGE($G$28:$G$76,ROW(INDIRECT("1:15"))))&gt;=24000),AVERAGE(LARGE($G$28:$G$76,ROW(INDIRECT("1:15")))),0)</f>
        <v>0</v>
      </c>
      <c r="BN9" s="31"/>
    </row>
    <row r="10" spans="1:66" ht="15">
      <c r="B10" t="s">
        <v>62</v>
      </c>
      <c r="D10"/>
      <c r="E10" s="24"/>
      <c r="F10" s="28">
        <v>0.18</v>
      </c>
      <c r="I10">
        <v>4</v>
      </c>
      <c r="J10" s="40">
        <f t="shared" si="1"/>
        <v>4200</v>
      </c>
      <c r="K10" s="40">
        <f t="shared" si="2"/>
        <v>3000</v>
      </c>
      <c r="R10">
        <v>4</v>
      </c>
      <c r="S10" s="40">
        <f t="shared" si="0"/>
        <v>4200</v>
      </c>
      <c r="T10" s="40">
        <f t="shared" si="0"/>
        <v>3000</v>
      </c>
      <c r="AA10" s="29" t="s">
        <v>114</v>
      </c>
      <c r="AB10" s="22"/>
      <c r="AC10" s="22"/>
      <c r="AK10" s="194"/>
      <c r="AL10" s="194"/>
      <c r="AM10" s="194"/>
      <c r="AN10" s="194"/>
      <c r="AO10" s="194"/>
      <c r="AP10" s="194"/>
      <c r="BH10" s="266" t="s">
        <v>130</v>
      </c>
      <c r="BI10" s="266"/>
      <c r="BJ10" s="266"/>
      <c r="BK10" s="266"/>
      <c r="BL10" s="131">
        <f ca="1">+IF($BM$4*BM10/12&gt;2500,2500,$BM$4*BM10/12)</f>
        <v>0</v>
      </c>
      <c r="BM10" s="150" cm="1">
        <f t="array" aca="1" ref="BM10" ca="1">IF(AND(BM2&gt;360,AVERAGE(LARGE($G$28:$G$76,ROW(INDIRECT("1:20"))))&gt;=30000),AVERAGE(LARGE($G$28:$G$76,ROW(INDIRECT("1:20")))),0)</f>
        <v>0</v>
      </c>
    </row>
    <row r="11" spans="1:66" ht="15.75" thickBot="1">
      <c r="B11" t="s">
        <v>55</v>
      </c>
      <c r="D11"/>
      <c r="E11" s="24"/>
      <c r="F11" s="28">
        <v>0.04</v>
      </c>
      <c r="I11">
        <v>5</v>
      </c>
      <c r="J11" s="40">
        <f t="shared" si="1"/>
        <v>4200</v>
      </c>
      <c r="K11" s="40">
        <f t="shared" si="2"/>
        <v>3000</v>
      </c>
      <c r="R11">
        <v>5</v>
      </c>
      <c r="S11" s="40">
        <f t="shared" si="0"/>
        <v>4200</v>
      </c>
      <c r="T11" s="40">
        <f t="shared" si="0"/>
        <v>3000</v>
      </c>
      <c r="AA11" s="30" t="s">
        <v>35</v>
      </c>
      <c r="AB11" s="22"/>
      <c r="AF11" s="60">
        <f>+F6</f>
        <v>62</v>
      </c>
      <c r="AK11" s="198" t="s">
        <v>118</v>
      </c>
      <c r="AL11" s="194"/>
      <c r="AM11" s="194"/>
      <c r="AN11" s="194"/>
      <c r="AO11" s="198" t="s">
        <v>120</v>
      </c>
      <c r="AP11" s="208" t="s">
        <v>140</v>
      </c>
      <c r="BH11" s="266" t="s">
        <v>131</v>
      </c>
      <c r="BI11" s="266"/>
      <c r="BJ11" s="266"/>
      <c r="BK11" s="266"/>
      <c r="BM11" s="154">
        <f ca="1">+BM5/VLOOKUP(MAX(BL8:BL10),BL8:BM10,2,0)</f>
        <v>0.75714285714285712</v>
      </c>
    </row>
    <row r="12" spans="1:66" ht="15.75" thickTop="1">
      <c r="B12" t="s">
        <v>56</v>
      </c>
      <c r="D12"/>
      <c r="E12" s="24"/>
      <c r="F12" s="28">
        <v>0.04</v>
      </c>
      <c r="I12">
        <v>6</v>
      </c>
      <c r="J12" s="40">
        <f t="shared" si="1"/>
        <v>4200</v>
      </c>
      <c r="K12" s="40">
        <f t="shared" si="2"/>
        <v>3000</v>
      </c>
      <c r="R12">
        <v>6</v>
      </c>
      <c r="S12" s="40">
        <f t="shared" si="0"/>
        <v>4200</v>
      </c>
      <c r="T12" s="40">
        <f t="shared" si="0"/>
        <v>3000</v>
      </c>
      <c r="AA12" s="65" t="s">
        <v>73</v>
      </c>
      <c r="AB12" s="22"/>
      <c r="AF12" s="32">
        <f>+VLOOKUP(AF11,$AB$28:$AI$76,8,FALSE)</f>
        <v>0</v>
      </c>
      <c r="AG12" s="143" t="s">
        <v>169</v>
      </c>
      <c r="AK12" s="209" t="s">
        <v>112</v>
      </c>
      <c r="AL12" s="210"/>
      <c r="AM12" s="210"/>
      <c r="AN12" s="210"/>
      <c r="AO12" s="211">
        <f>+L18</f>
        <v>210</v>
      </c>
      <c r="AP12" s="212">
        <f>+AO12/(J16/12)</f>
        <v>0.6</v>
      </c>
    </row>
    <row r="13" spans="1:66" ht="15">
      <c r="A13" s="143" t="s">
        <v>153</v>
      </c>
      <c r="B13" t="s">
        <v>57</v>
      </c>
      <c r="D13"/>
      <c r="E13" s="24"/>
      <c r="F13" s="23">
        <v>240</v>
      </c>
      <c r="I13">
        <v>7</v>
      </c>
      <c r="J13" s="40">
        <f t="shared" si="1"/>
        <v>4200</v>
      </c>
      <c r="K13" s="40">
        <f t="shared" si="2"/>
        <v>3000</v>
      </c>
      <c r="R13">
        <v>7</v>
      </c>
      <c r="S13" s="40">
        <f t="shared" si="0"/>
        <v>4200</v>
      </c>
      <c r="T13" s="40">
        <f t="shared" si="0"/>
        <v>3000</v>
      </c>
      <c r="W13" t="s">
        <v>197</v>
      </c>
      <c r="X13" t="s">
        <v>198</v>
      </c>
      <c r="AA13" t="s">
        <v>72</v>
      </c>
      <c r="AF13" s="15">
        <f>+IF(AND($B$20=1,$F$2&lt;&gt;1),100%,IF($F$3="M",VLOOKUP(AF11,descuento!$A$6:$B$32,2,FALSE),VLOOKUP(AF11,descuento!$C$6:$D$32,2,FALSE)))</f>
        <v>1</v>
      </c>
      <c r="AG13" s="15"/>
      <c r="AK13" s="213" t="s">
        <v>113</v>
      </c>
      <c r="AL13" s="194"/>
      <c r="AM13" s="194"/>
      <c r="AN13" s="194"/>
      <c r="AO13" s="214">
        <f>+U22</f>
        <v>208.77515746373228</v>
      </c>
      <c r="AP13" s="215">
        <f>+AO13/(S17/12)</f>
        <v>0.59650044989637796</v>
      </c>
      <c r="AV13" s="65" t="s">
        <v>75</v>
      </c>
      <c r="BB13" s="167">
        <f>+VLOOKUP(AF11,$AW$28:$BE$76,9,FALSE)</f>
        <v>59866.074890002252</v>
      </c>
      <c r="BH13" s="172" t="s">
        <v>106</v>
      </c>
      <c r="BI13" s="173"/>
      <c r="BJ13" s="173"/>
      <c r="BK13" s="173"/>
      <c r="BL13" s="173"/>
      <c r="BM13" s="173"/>
      <c r="BN13" s="173"/>
    </row>
    <row r="14" spans="1:66" ht="15.75" thickBot="1">
      <c r="A14" s="143" t="s">
        <v>155</v>
      </c>
      <c r="B14" t="s">
        <v>58</v>
      </c>
      <c r="D14"/>
      <c r="E14" s="24"/>
      <c r="F14" s="33">
        <v>0.6</v>
      </c>
      <c r="I14">
        <v>8</v>
      </c>
      <c r="J14" s="40">
        <f t="shared" si="1"/>
        <v>4200</v>
      </c>
      <c r="K14" s="40">
        <f t="shared" si="2"/>
        <v>3000</v>
      </c>
      <c r="R14">
        <v>8</v>
      </c>
      <c r="S14" s="40">
        <f t="shared" si="0"/>
        <v>4200</v>
      </c>
      <c r="T14" s="40">
        <f t="shared" si="0"/>
        <v>3000</v>
      </c>
      <c r="W14" t="s">
        <v>199</v>
      </c>
      <c r="X14" t="s">
        <v>200</v>
      </c>
      <c r="AA14" s="65" t="s">
        <v>74</v>
      </c>
      <c r="AF14" s="32">
        <f>+VLOOKUP(AF11,$AL$28:$AT$76,9,FALSE)</f>
        <v>59866.074890002252</v>
      </c>
      <c r="AG14" s="143" t="s">
        <v>170</v>
      </c>
      <c r="AK14" s="216" t="s">
        <v>117</v>
      </c>
      <c r="AL14" s="217"/>
      <c r="AM14" s="218"/>
      <c r="AN14" s="218"/>
      <c r="AO14" s="227">
        <f>+AF17</f>
        <v>308.56957668459461</v>
      </c>
      <c r="AP14" s="219">
        <f>+AO14/(S16/12)</f>
        <v>0.88162736195598457</v>
      </c>
      <c r="AR14" s="15"/>
      <c r="AT14" s="30"/>
      <c r="AV14" s="65" t="s">
        <v>36</v>
      </c>
      <c r="AW14" s="22"/>
      <c r="AX14" s="34"/>
      <c r="BB14" s="176">
        <f>+AF16</f>
        <v>5.1543311842568507</v>
      </c>
    </row>
    <row r="15" spans="1:66" ht="15.75" thickTop="1">
      <c r="A15" s="143" t="s">
        <v>156</v>
      </c>
      <c r="B15" t="s">
        <v>59</v>
      </c>
      <c r="D15"/>
      <c r="E15" s="24"/>
      <c r="F15" s="28">
        <v>1.2500000000000001E-2</v>
      </c>
      <c r="I15">
        <v>9</v>
      </c>
      <c r="J15" s="40">
        <f t="shared" si="1"/>
        <v>4200</v>
      </c>
      <c r="K15" s="40">
        <f t="shared" si="2"/>
        <v>3000</v>
      </c>
      <c r="R15">
        <v>9</v>
      </c>
      <c r="S15" s="40">
        <f t="shared" si="0"/>
        <v>4200</v>
      </c>
      <c r="T15" s="40">
        <f t="shared" si="0"/>
        <v>3000</v>
      </c>
      <c r="W15" t="s">
        <v>201</v>
      </c>
      <c r="AA15" s="65" t="s">
        <v>75</v>
      </c>
      <c r="AF15" s="167">
        <f>+AF14+AF12*AF13</f>
        <v>59866.074890002252</v>
      </c>
      <c r="AG15" s="167" t="s">
        <v>171</v>
      </c>
      <c r="AH15" s="31"/>
      <c r="AK15" s="194" t="s">
        <v>193</v>
      </c>
      <c r="AL15" s="194"/>
      <c r="AM15" s="194"/>
      <c r="AN15" s="194"/>
      <c r="AO15" s="220">
        <f>+BB15</f>
        <v>308.56957668459461</v>
      </c>
      <c r="AP15" s="221">
        <f>+AO15/(S17/12)</f>
        <v>0.88162736195598457</v>
      </c>
      <c r="AQ15" s="148"/>
      <c r="AT15" s="64"/>
      <c r="AV15" s="65" t="s">
        <v>176</v>
      </c>
      <c r="BB15" s="86">
        <f>+BB13*0.001*BB14</f>
        <v>308.56957668459461</v>
      </c>
      <c r="BH15" t="s">
        <v>143</v>
      </c>
      <c r="BM15" s="13">
        <f t="array" aca="1" ref="BM15" ca="1">+AVERAGE(LARGE($L$28:$L$76,ROW(INDIRECT("1:10"))))</f>
        <v>3000</v>
      </c>
    </row>
    <row r="16" spans="1:66" ht="15">
      <c r="B16" t="s">
        <v>79</v>
      </c>
      <c r="D16"/>
      <c r="E16" s="24"/>
      <c r="F16" s="73">
        <v>2500</v>
      </c>
      <c r="I16">
        <v>10</v>
      </c>
      <c r="J16" s="40">
        <f t="shared" si="1"/>
        <v>4200</v>
      </c>
      <c r="K16" s="40">
        <f t="shared" si="2"/>
        <v>3000</v>
      </c>
      <c r="R16">
        <v>10</v>
      </c>
      <c r="S16" s="40">
        <f t="shared" si="0"/>
        <v>4200</v>
      </c>
      <c r="T16" s="40">
        <f t="shared" si="0"/>
        <v>3000</v>
      </c>
      <c r="AA16" s="65" t="s">
        <v>36</v>
      </c>
      <c r="AB16" s="22"/>
      <c r="AC16" s="34"/>
      <c r="AF16" s="176">
        <f>+VLOOKUP(AF11,'bases renta'!$K$20:$L$65,2,FALSE)</f>
        <v>5.1543311842568507</v>
      </c>
      <c r="AG16" s="143" t="s">
        <v>172</v>
      </c>
      <c r="AV16" s="65" t="s">
        <v>140</v>
      </c>
      <c r="BB16" s="166">
        <f>+BB15/(J17/12)</f>
        <v>0.88162736195598457</v>
      </c>
      <c r="BH16" t="s">
        <v>107</v>
      </c>
      <c r="BM16" s="144">
        <f ca="1">+BM15*BM4/12</f>
        <v>150</v>
      </c>
    </row>
    <row r="17" spans="2:65" ht="15">
      <c r="B17" t="s">
        <v>103</v>
      </c>
      <c r="D17"/>
      <c r="E17" s="24"/>
      <c r="F17" s="28">
        <v>3.5000000000000003E-2</v>
      </c>
      <c r="H17" s="195" t="s">
        <v>134</v>
      </c>
      <c r="I17" s="143" t="s">
        <v>148</v>
      </c>
      <c r="J17" s="163">
        <f>+AVERAGE(J7:J16)</f>
        <v>4200</v>
      </c>
      <c r="K17" s="163">
        <f>+AVERAGE(K7:K16)</f>
        <v>3000</v>
      </c>
      <c r="L17" s="143"/>
      <c r="P17" s="195"/>
      <c r="Q17" s="143" t="s">
        <v>134</v>
      </c>
      <c r="R17" s="143" t="s">
        <v>148</v>
      </c>
      <c r="S17" s="163">
        <f t="shared" si="0"/>
        <v>4200</v>
      </c>
      <c r="T17" s="163">
        <f t="shared" si="0"/>
        <v>3000</v>
      </c>
      <c r="U17" s="143" t="s">
        <v>162</v>
      </c>
      <c r="Z17" s="195"/>
      <c r="AA17" s="65" t="s">
        <v>176</v>
      </c>
      <c r="AF17" s="86">
        <f>+AF15*0.001*AF16</f>
        <v>308.56957668459461</v>
      </c>
      <c r="AG17" s="175" t="s">
        <v>173</v>
      </c>
      <c r="AH17" s="149"/>
      <c r="BH17" t="s">
        <v>108</v>
      </c>
      <c r="BM17" s="13">
        <f>+VLOOKUP(AF11,$R$28:$Y$76,8,FALSE)</f>
        <v>11403.061883809949</v>
      </c>
    </row>
    <row r="18" spans="2:65" ht="30" customHeight="1">
      <c r="B18" s="20" t="s">
        <v>182</v>
      </c>
      <c r="D18"/>
      <c r="E18" s="24"/>
      <c r="F18" s="28">
        <v>0</v>
      </c>
      <c r="H18" s="196"/>
      <c r="I18" t="s">
        <v>138</v>
      </c>
      <c r="J18" s="163">
        <f>+BM2</f>
        <v>240</v>
      </c>
      <c r="K18" s="164" t="s">
        <v>141</v>
      </c>
      <c r="L18" s="86">
        <f>+MIN(J17*J20/12,F16)</f>
        <v>210</v>
      </c>
      <c r="M18" s="143" t="s">
        <v>158</v>
      </c>
      <c r="N18" s="143"/>
      <c r="P18" s="196"/>
      <c r="R18" t="s">
        <v>138</v>
      </c>
      <c r="S18" s="163">
        <f>+J18</f>
        <v>240</v>
      </c>
      <c r="T18" s="164" t="s">
        <v>144</v>
      </c>
      <c r="U18" s="86">
        <f>+(K17*S20)/12</f>
        <v>150</v>
      </c>
      <c r="V18" s="143" t="s">
        <v>163</v>
      </c>
      <c r="W18" s="39" t="s">
        <v>140</v>
      </c>
      <c r="X18" s="166">
        <f>+U22/(J17/12)</f>
        <v>0.59650044989637796</v>
      </c>
      <c r="Y18" t="s">
        <v>167</v>
      </c>
      <c r="Z18" s="196"/>
      <c r="AA18" s="65" t="s">
        <v>140</v>
      </c>
      <c r="AF18" s="177">
        <f>+AF17/(J17/12)</f>
        <v>0.88162736195598457</v>
      </c>
      <c r="AG18" s="143" t="s">
        <v>174</v>
      </c>
      <c r="AH18" s="31"/>
      <c r="BH18" t="s">
        <v>109</v>
      </c>
      <c r="BM18" s="14">
        <f>+AF16</f>
        <v>5.1543311842568507</v>
      </c>
    </row>
    <row r="19" spans="2:65" ht="72">
      <c r="B19" s="20" t="s">
        <v>183</v>
      </c>
      <c r="F19" s="23">
        <f>+salidaformulas!A10</f>
        <v>700</v>
      </c>
      <c r="H19" s="196" t="s">
        <v>157</v>
      </c>
      <c r="I19" t="s">
        <v>139</v>
      </c>
      <c r="J19" s="163">
        <f>+BM3</f>
        <v>0</v>
      </c>
      <c r="K19" s="21" t="s">
        <v>152</v>
      </c>
      <c r="L19" s="150">
        <f>+F23</f>
        <v>350</v>
      </c>
      <c r="M19" s="143" t="s">
        <v>160</v>
      </c>
      <c r="N19" s="143"/>
      <c r="P19" s="196"/>
      <c r="R19" s="39" t="s">
        <v>139</v>
      </c>
      <c r="S19" s="163">
        <f>+J19</f>
        <v>0</v>
      </c>
      <c r="T19" s="143" t="s">
        <v>145</v>
      </c>
      <c r="U19" s="171">
        <f>+BM17</f>
        <v>11403.061883809949</v>
      </c>
      <c r="V19" s="143" t="s">
        <v>164</v>
      </c>
      <c r="W19" s="39" t="s">
        <v>152</v>
      </c>
      <c r="X19" s="140">
        <f>+L19</f>
        <v>350</v>
      </c>
      <c r="Y19" s="143" t="str">
        <f>+M19</f>
        <v>H</v>
      </c>
      <c r="Z19" s="196"/>
      <c r="AA19" s="65" t="s">
        <v>152</v>
      </c>
      <c r="AF19" s="150">
        <f>+X19</f>
        <v>350</v>
      </c>
      <c r="AG19" s="143" t="s">
        <v>160</v>
      </c>
      <c r="AI19" s="34"/>
      <c r="AJ19" s="34"/>
      <c r="BH19" t="s">
        <v>110</v>
      </c>
      <c r="BM19" s="144">
        <f>+(BM17/1000)*BM18</f>
        <v>58.775157463732292</v>
      </c>
    </row>
    <row r="20" spans="2:65" ht="30">
      <c r="B20" s="20" t="s">
        <v>194</v>
      </c>
      <c r="F20" s="23">
        <v>6</v>
      </c>
      <c r="H20" s="198" t="s">
        <v>159</v>
      </c>
      <c r="I20" s="39" t="s">
        <v>140</v>
      </c>
      <c r="J20" s="165">
        <f>+BM4</f>
        <v>0.6</v>
      </c>
      <c r="K20" s="143" t="s">
        <v>142</v>
      </c>
      <c r="L20" s="166">
        <f>+L18/L19</f>
        <v>0.6</v>
      </c>
      <c r="M20" s="143" t="s">
        <v>161</v>
      </c>
      <c r="N20" s="143"/>
      <c r="Q20" s="143" t="s">
        <v>154</v>
      </c>
      <c r="R20" s="39" t="s">
        <v>140</v>
      </c>
      <c r="S20" s="165">
        <f>+J20</f>
        <v>0.6</v>
      </c>
      <c r="T20" s="169" t="s">
        <v>146</v>
      </c>
      <c r="U20" s="167">
        <f>+BM18</f>
        <v>5.1543311842568507</v>
      </c>
      <c r="V20" s="143" t="s">
        <v>0</v>
      </c>
      <c r="W20" s="39" t="s">
        <v>142</v>
      </c>
      <c r="X20" s="166">
        <f>+U22/L19</f>
        <v>0.59650044989637796</v>
      </c>
      <c r="Y20" s="143" t="s">
        <v>168</v>
      </c>
      <c r="AA20" s="65" t="s">
        <v>142</v>
      </c>
      <c r="AF20" s="166">
        <f>+AF17/L19</f>
        <v>0.88162736195598457</v>
      </c>
      <c r="AG20" s="143" t="s">
        <v>175</v>
      </c>
      <c r="AH20" s="156"/>
      <c r="AS20" s="38"/>
      <c r="BH20" s="143" t="s">
        <v>111</v>
      </c>
      <c r="BM20" s="145">
        <f ca="1">IF(BM2&gt;=240,MAX(BM16+BM19,265),BM16+BM19)</f>
        <v>265</v>
      </c>
    </row>
    <row r="21" spans="2:65" s="34" customFormat="1" ht="30">
      <c r="C21" s="203" t="s">
        <v>195</v>
      </c>
      <c r="F21" s="202">
        <f>+SUMIF(F28:F76,"&gt;0")</f>
        <v>240</v>
      </c>
      <c r="G21" s="168">
        <f>+F21/12</f>
        <v>20</v>
      </c>
      <c r="H21" s="197"/>
      <c r="J21" s="193"/>
      <c r="P21" s="197"/>
      <c r="T21" s="168" t="s">
        <v>110</v>
      </c>
      <c r="U21" s="86">
        <f>+U19*0.001*U20</f>
        <v>58.775157463732292</v>
      </c>
      <c r="V21" s="169" t="s">
        <v>165</v>
      </c>
      <c r="Z21" s="197"/>
      <c r="AH21" s="156"/>
      <c r="AQ21" s="147"/>
      <c r="AR21"/>
      <c r="AS21" s="16"/>
      <c r="AU21" s="197"/>
      <c r="BG21" s="188"/>
      <c r="BH21" s="151" t="s">
        <v>131</v>
      </c>
      <c r="BI21"/>
      <c r="BJ21"/>
      <c r="BK21"/>
      <c r="BM21" s="153">
        <f ca="1">+BM20*12/VLOOKUP(MAX($BL$8:$BL$10),$BL$8:$BN$10,2,0)</f>
        <v>0.75714285714285712</v>
      </c>
    </row>
    <row r="22" spans="2:65" ht="15" customHeight="1">
      <c r="B22" s="23"/>
      <c r="C22" s="29" t="s">
        <v>190</v>
      </c>
      <c r="E22" s="37"/>
      <c r="F22" s="204">
        <f>+AVERAGEIF(G28:G76,"&gt;0")</f>
        <v>4200</v>
      </c>
      <c r="G22" s="150"/>
      <c r="T22" s="143" t="s">
        <v>147</v>
      </c>
      <c r="U22" s="170">
        <f>+U21+U18</f>
        <v>208.77515746373228</v>
      </c>
      <c r="V22" s="143" t="s">
        <v>166</v>
      </c>
      <c r="AS22" s="16"/>
    </row>
    <row r="23" spans="2:65" ht="15">
      <c r="B23" s="61"/>
      <c r="C23" s="29" t="s">
        <v>191</v>
      </c>
      <c r="E23" s="203"/>
      <c r="F23" s="204">
        <f>+F22/12</f>
        <v>350</v>
      </c>
      <c r="G23" s="150"/>
      <c r="I23" s="40"/>
      <c r="T23" s="143" t="s">
        <v>196</v>
      </c>
      <c r="U23" s="231">
        <v>0.04</v>
      </c>
      <c r="V23" s="237"/>
      <c r="W23" s="238"/>
      <c r="X23" s="238"/>
      <c r="AA23" s="20"/>
      <c r="AB23" s="22"/>
      <c r="AC23" s="22"/>
      <c r="AD23" s="34"/>
      <c r="AE23" s="34"/>
      <c r="AF23" s="35"/>
    </row>
    <row r="24" spans="2:65" ht="15.75" thickBot="1">
      <c r="B24" s="264" t="s">
        <v>121</v>
      </c>
      <c r="C24" s="264"/>
      <c r="D24" s="264"/>
      <c r="E24" s="264"/>
      <c r="F24" s="264"/>
      <c r="G24" s="264"/>
      <c r="I24" s="264" t="s">
        <v>122</v>
      </c>
      <c r="J24" s="264"/>
      <c r="K24" s="264"/>
      <c r="L24" s="264"/>
      <c r="M24" s="264"/>
      <c r="N24" s="264"/>
      <c r="O24" s="264"/>
      <c r="Q24" s="264" t="s">
        <v>123</v>
      </c>
      <c r="R24" s="264"/>
      <c r="S24" s="264"/>
      <c r="T24" s="264"/>
      <c r="U24" s="264"/>
      <c r="V24" s="264"/>
      <c r="W24" s="264"/>
      <c r="X24" s="264"/>
      <c r="Y24" s="264"/>
      <c r="AA24" s="264" t="s">
        <v>124</v>
      </c>
      <c r="AB24" s="264"/>
      <c r="AC24" s="264"/>
      <c r="AD24" s="264"/>
      <c r="AE24" s="264"/>
      <c r="AF24" s="264"/>
      <c r="AG24" s="264"/>
      <c r="AH24" s="264"/>
      <c r="AI24" s="264"/>
      <c r="AK24" s="264" t="s">
        <v>125</v>
      </c>
      <c r="AL24" s="264"/>
      <c r="AM24" s="264"/>
      <c r="AN24" s="264"/>
      <c r="AO24" s="264"/>
      <c r="AP24" s="264"/>
      <c r="AQ24" s="264"/>
      <c r="AR24" s="264"/>
      <c r="AS24" s="264"/>
      <c r="AT24" s="264"/>
      <c r="AV24" s="264" t="s">
        <v>126</v>
      </c>
      <c r="AW24" s="264"/>
      <c r="AX24" s="264"/>
      <c r="AY24" s="264"/>
      <c r="AZ24" s="264"/>
      <c r="BA24" s="264"/>
      <c r="BB24" s="264"/>
      <c r="BC24" s="264"/>
      <c r="BD24" s="264"/>
      <c r="BE24" s="264"/>
    </row>
    <row r="25" spans="2:65" ht="16.5" thickTop="1" thickBot="1">
      <c r="B25" s="29" t="s">
        <v>135</v>
      </c>
      <c r="I25" s="143" t="s">
        <v>87</v>
      </c>
      <c r="O25" s="72"/>
      <c r="Q25" s="269" t="s">
        <v>104</v>
      </c>
      <c r="R25" s="269"/>
      <c r="S25" s="269"/>
      <c r="T25" s="269"/>
      <c r="U25" s="269"/>
      <c r="V25" s="269"/>
      <c r="W25" s="269"/>
      <c r="X25" s="269"/>
      <c r="Y25" s="269"/>
      <c r="AA25" s="265" t="s">
        <v>116</v>
      </c>
      <c r="AB25" s="265"/>
      <c r="AC25" s="265"/>
      <c r="AD25" s="265"/>
      <c r="AE25" s="265"/>
      <c r="AF25" s="265"/>
      <c r="AG25" s="265"/>
      <c r="AH25" s="265"/>
      <c r="AI25" s="265"/>
      <c r="AK25" s="265" t="s">
        <v>115</v>
      </c>
      <c r="AL25" s="265"/>
      <c r="AM25" s="265"/>
      <c r="AN25" s="265"/>
      <c r="AO25" s="265"/>
      <c r="AP25" s="265"/>
      <c r="AQ25" s="265"/>
      <c r="AR25" s="265"/>
      <c r="AS25" s="265"/>
      <c r="AT25" s="265"/>
      <c r="AV25" s="265" t="s">
        <v>181</v>
      </c>
      <c r="AW25" s="265"/>
      <c r="AX25" s="265"/>
      <c r="AY25" s="265"/>
      <c r="AZ25" s="265"/>
      <c r="BA25" s="265"/>
      <c r="BB25" s="265"/>
      <c r="BC25" s="265"/>
      <c r="BD25" s="265"/>
      <c r="BE25" s="265"/>
    </row>
    <row r="26" spans="2:65" ht="87" thickTop="1" thickBot="1">
      <c r="B26" s="44" t="s">
        <v>38</v>
      </c>
      <c r="C26" s="41" t="s">
        <v>63</v>
      </c>
      <c r="D26" s="41" t="s">
        <v>40</v>
      </c>
      <c r="E26" s="42" t="s">
        <v>41</v>
      </c>
      <c r="F26" s="41" t="s">
        <v>43</v>
      </c>
      <c r="G26" s="190" t="s">
        <v>42</v>
      </c>
      <c r="H26" s="197"/>
      <c r="I26" s="44" t="s">
        <v>38</v>
      </c>
      <c r="J26" s="42" t="s">
        <v>80</v>
      </c>
      <c r="K26" s="42" t="s">
        <v>43</v>
      </c>
      <c r="L26" s="42" t="s">
        <v>177</v>
      </c>
      <c r="M26" s="42" t="s">
        <v>178</v>
      </c>
      <c r="N26" s="178" t="s">
        <v>179</v>
      </c>
      <c r="O26" s="45" t="s">
        <v>180</v>
      </c>
      <c r="P26" s="197"/>
      <c r="Q26" s="44" t="s">
        <v>38</v>
      </c>
      <c r="R26" s="41" t="s">
        <v>39</v>
      </c>
      <c r="S26" s="41" t="s">
        <v>69</v>
      </c>
      <c r="T26" s="41" t="s">
        <v>64</v>
      </c>
      <c r="U26" s="41" t="s">
        <v>105</v>
      </c>
      <c r="V26" s="41" t="s">
        <v>100</v>
      </c>
      <c r="W26" s="42" t="s">
        <v>44</v>
      </c>
      <c r="X26" s="42" t="s">
        <v>45</v>
      </c>
      <c r="Y26" s="43" t="s">
        <v>101</v>
      </c>
      <c r="Z26" s="197"/>
      <c r="AA26" s="44" t="s">
        <v>38</v>
      </c>
      <c r="AB26" s="41" t="s">
        <v>39</v>
      </c>
      <c r="AC26" s="41" t="s">
        <v>69</v>
      </c>
      <c r="AD26" s="41" t="s">
        <v>64</v>
      </c>
      <c r="AE26" s="41" t="s">
        <v>102</v>
      </c>
      <c r="AF26" s="41" t="s">
        <v>100</v>
      </c>
      <c r="AG26" s="42" t="s">
        <v>44</v>
      </c>
      <c r="AH26" s="42" t="s">
        <v>45</v>
      </c>
      <c r="AI26" s="43" t="s">
        <v>101</v>
      </c>
      <c r="AK26" s="44" t="s">
        <v>38</v>
      </c>
      <c r="AL26" s="41" t="s">
        <v>39</v>
      </c>
      <c r="AM26" s="41" t="s">
        <v>69</v>
      </c>
      <c r="AN26" s="41" t="s">
        <v>64</v>
      </c>
      <c r="AO26" s="41" t="s">
        <v>65</v>
      </c>
      <c r="AP26" s="41" t="s">
        <v>192</v>
      </c>
      <c r="AQ26" s="41" t="s">
        <v>100</v>
      </c>
      <c r="AR26" s="42" t="s">
        <v>44</v>
      </c>
      <c r="AS26" s="42" t="s">
        <v>45</v>
      </c>
      <c r="AT26" s="66" t="s">
        <v>100</v>
      </c>
      <c r="AV26" s="44" t="s">
        <v>38</v>
      </c>
      <c r="AW26" s="41" t="s">
        <v>39</v>
      </c>
      <c r="AX26" s="41" t="s">
        <v>69</v>
      </c>
      <c r="AY26" s="41" t="s">
        <v>64</v>
      </c>
      <c r="AZ26" s="41" t="s">
        <v>65</v>
      </c>
      <c r="BA26" s="41" t="s">
        <v>192</v>
      </c>
      <c r="BB26" s="41" t="s">
        <v>100</v>
      </c>
      <c r="BC26" s="42" t="s">
        <v>44</v>
      </c>
      <c r="BD26" s="42" t="s">
        <v>45</v>
      </c>
      <c r="BE26" s="66" t="s">
        <v>100</v>
      </c>
    </row>
    <row r="27" spans="2:65" ht="15.75" thickTop="1" thickBot="1">
      <c r="B27" s="46"/>
      <c r="G27" s="191"/>
      <c r="I27" s="46"/>
      <c r="J27" s="46"/>
      <c r="K27" s="46"/>
      <c r="L27" s="46"/>
      <c r="M27" s="46"/>
      <c r="N27" s="46"/>
      <c r="O27" s="20"/>
      <c r="Q27" s="46"/>
      <c r="R27" s="20"/>
      <c r="S27" s="20"/>
      <c r="T27" s="20"/>
      <c r="U27" s="20"/>
      <c r="V27" s="20"/>
      <c r="W27" s="22"/>
      <c r="X27" s="22"/>
      <c r="AA27" s="46"/>
      <c r="AB27" s="20"/>
      <c r="AC27" s="20"/>
      <c r="AD27" s="20"/>
      <c r="AE27" s="20"/>
      <c r="AF27" s="20"/>
      <c r="AG27" s="22"/>
      <c r="AH27" s="22"/>
      <c r="AK27" s="46"/>
      <c r="AL27" s="20"/>
      <c r="AM27" s="20"/>
      <c r="AN27" s="20"/>
      <c r="AO27" s="20"/>
      <c r="AP27" s="20"/>
      <c r="AQ27" s="20"/>
      <c r="AR27" s="22"/>
      <c r="AS27" s="22"/>
      <c r="AV27" s="46"/>
      <c r="AW27" s="20"/>
      <c r="AX27" s="20"/>
      <c r="AY27" s="20"/>
      <c r="AZ27" s="20"/>
      <c r="BA27" s="20"/>
      <c r="BB27" s="20"/>
      <c r="BC27" s="22"/>
      <c r="BD27" s="22"/>
    </row>
    <row r="28" spans="2:65" ht="15.75" thickTop="1" thickBot="1">
      <c r="B28" s="57">
        <v>1</v>
      </c>
      <c r="C28" s="48">
        <f>+F4</f>
        <v>22</v>
      </c>
      <c r="D28" s="184">
        <v>1</v>
      </c>
      <c r="E28" s="48">
        <f>+IF($C28&gt;=$F$6,0,$F$19*D28)</f>
        <v>700</v>
      </c>
      <c r="F28" s="205">
        <f>+IF($C28&gt;=$F$6,0,$F$20)</f>
        <v>6</v>
      </c>
      <c r="G28" s="192">
        <f>+E28*F28</f>
        <v>4200</v>
      </c>
      <c r="I28" s="57">
        <f>+B28</f>
        <v>1</v>
      </c>
      <c r="J28" s="75">
        <f>+C28</f>
        <v>22</v>
      </c>
      <c r="K28" s="75">
        <f t="shared" ref="K28:K76" si="3">+IF(AL28&lt;=$AF$11,1,0)*F28</f>
        <v>6</v>
      </c>
      <c r="L28" s="48">
        <f>+IF(AL28&gt;$AF$11,0,IF(E28&gt;500,500*F28,E28*F28))</f>
        <v>3000</v>
      </c>
      <c r="M28" s="75">
        <f t="shared" ref="M28:M76" si="4">+IF(AL28&gt;$AF$11,0,IF(G28-L28 &lt;= 0,0,G28-L28))</f>
        <v>1200</v>
      </c>
      <c r="N28" s="75">
        <f>+IF($F$7&lt;7,L28+M28,IF(AL28&gt;$AF$11,0,IF($F$2=1,IF($J28&lt;$F$5,IF(G28&lt;=$F$16*12,G28,$F$16*12),G28),G28)))</f>
        <v>4200</v>
      </c>
      <c r="O28" s="179">
        <f>+IFERROR(N28/K28,0)</f>
        <v>700</v>
      </c>
      <c r="Q28" s="57">
        <f t="shared" ref="Q28:Q76" si="5">+I28</f>
        <v>1</v>
      </c>
      <c r="R28" s="87">
        <f t="shared" ref="R28:R76" si="6">+J28+1</f>
        <v>23</v>
      </c>
      <c r="S28" s="87">
        <f t="shared" ref="S28:S76" si="7">+IF(R28&lt;=$AF$11,1,0)</f>
        <v>1</v>
      </c>
      <c r="T28" s="141">
        <f>+$F$9-$F$17</f>
        <v>0.1</v>
      </c>
      <c r="U28" s="87">
        <f t="shared" ref="U28:U76" si="8">+M28</f>
        <v>1200</v>
      </c>
      <c r="V28" s="87">
        <f>+Y27</f>
        <v>0</v>
      </c>
      <c r="W28" s="87">
        <f>+T28*U28*S28</f>
        <v>120</v>
      </c>
      <c r="X28" s="87">
        <f>+$U$23*V28</f>
        <v>0</v>
      </c>
      <c r="Y28" s="142">
        <f>+(V28+W28+X28)</f>
        <v>120</v>
      </c>
      <c r="AA28" s="57">
        <f t="shared" ref="AA28:AA76" si="9">+B28</f>
        <v>1</v>
      </c>
      <c r="AB28" s="48">
        <f t="shared" ref="AB28:AB76" si="10">+C28+1</f>
        <v>23</v>
      </c>
      <c r="AC28" s="48">
        <f t="shared" ref="AC28:AC76" si="11">+IF(C28&lt;$F$5,1,0)</f>
        <v>0</v>
      </c>
      <c r="AD28" s="50">
        <f>F8</f>
        <v>0.15</v>
      </c>
      <c r="AE28" s="48">
        <f t="shared" ref="AE28:AE76" si="12">+IF($F$2=1,IF(G28&lt;=2500*12,G28,2500*12),G28)</f>
        <v>4200</v>
      </c>
      <c r="AF28" s="48">
        <f>+AI27</f>
        <v>0</v>
      </c>
      <c r="AG28" s="48">
        <f>+AD28*AE28*$AC28</f>
        <v>0</v>
      </c>
      <c r="AH28" s="48">
        <f t="shared" ref="AH28:AH76" si="13">+AF28*$F$11</f>
        <v>0</v>
      </c>
      <c r="AI28" s="49">
        <f>+(AF28+AG28+AH28)</f>
        <v>0</v>
      </c>
      <c r="AK28" s="57">
        <f>+AA28</f>
        <v>1</v>
      </c>
      <c r="AL28" s="48">
        <f>+AB28</f>
        <v>23</v>
      </c>
      <c r="AM28" s="48">
        <f t="shared" ref="AM28:AM65" si="14">+IF($C28&gt;=$F$5,1,0)</f>
        <v>1</v>
      </c>
      <c r="AN28" s="50">
        <f t="shared" ref="AN28:AN76" si="15">+$F$9*AM28</f>
        <v>0.13500000000000001</v>
      </c>
      <c r="AO28" s="50">
        <f t="shared" ref="AO28:AO76" si="16">+AM28*$F$10</f>
        <v>0.18</v>
      </c>
      <c r="AP28" s="207">
        <f>+G28</f>
        <v>4200</v>
      </c>
      <c r="AQ28" s="48">
        <f>+AT27</f>
        <v>0</v>
      </c>
      <c r="AR28" s="52">
        <f>+(AN28*AP28+AO28*(AP28/12))*AM28</f>
        <v>630</v>
      </c>
      <c r="AS28" s="48">
        <f>+AQ28*$F$12</f>
        <v>0</v>
      </c>
      <c r="AT28" s="49">
        <f>+(AQ28+AR28+AS28)</f>
        <v>630</v>
      </c>
      <c r="AV28" s="57">
        <f t="shared" ref="AV28:AW59" si="17">+AK28</f>
        <v>1</v>
      </c>
      <c r="AW28" s="48">
        <f t="shared" si="17"/>
        <v>23</v>
      </c>
      <c r="AX28" s="48">
        <v>1</v>
      </c>
      <c r="AY28" s="50">
        <f t="shared" ref="AY28:AY76" si="18">+$F$9*AX28</f>
        <v>0.13500000000000001</v>
      </c>
      <c r="AZ28" s="50">
        <f t="shared" ref="AZ28:AZ76" si="19">+AX28*$F$10</f>
        <v>0.18</v>
      </c>
      <c r="BA28" s="207">
        <f>+G28</f>
        <v>4200</v>
      </c>
      <c r="BB28" s="48">
        <f>+BE27</f>
        <v>0</v>
      </c>
      <c r="BC28" s="48">
        <f>+(AY28*BA28+AZ28*(BA28/12))*AX28</f>
        <v>630</v>
      </c>
      <c r="BD28" s="48">
        <f>+BB28*$F$12</f>
        <v>0</v>
      </c>
      <c r="BE28" s="49">
        <f>+(BB28+BC28+BD28)</f>
        <v>630</v>
      </c>
    </row>
    <row r="29" spans="2:65" ht="15.75" thickTop="1" thickBot="1">
      <c r="B29" s="58">
        <f t="shared" ref="B29:C44" si="20">+B28+1</f>
        <v>2</v>
      </c>
      <c r="C29" s="52">
        <f t="shared" si="20"/>
        <v>23</v>
      </c>
      <c r="D29" s="185">
        <f>+D28*(1+$F$18)</f>
        <v>1</v>
      </c>
      <c r="E29" s="48">
        <f t="shared" ref="E29:E76" si="21">+IF($C29&gt;=$F$6,0,$F$19*D29)</f>
        <v>700</v>
      </c>
      <c r="F29" s="205">
        <f t="shared" ref="F29:F76" si="22">+IF($C29&gt;=$F$6,0,$F$20)</f>
        <v>6</v>
      </c>
      <c r="G29" s="192">
        <f t="shared" ref="G29:G76" si="23">+E29*F29</f>
        <v>4200</v>
      </c>
      <c r="I29" s="58">
        <f t="shared" ref="I29:I76" si="24">+I28+1</f>
        <v>2</v>
      </c>
      <c r="J29" s="74">
        <f t="shared" ref="J29:J76" si="25">+C29</f>
        <v>23</v>
      </c>
      <c r="K29" s="74">
        <f t="shared" si="3"/>
        <v>6</v>
      </c>
      <c r="L29" s="52">
        <f t="shared" ref="L29:L76" si="26">+IF(AL29&gt;$AF$11,0,IF(E29&gt;500,500*F29,E29*F29))</f>
        <v>3000</v>
      </c>
      <c r="M29" s="74">
        <f t="shared" si="4"/>
        <v>1200</v>
      </c>
      <c r="N29" s="74">
        <f t="shared" ref="N29:N76" si="27">+IF($F$7&lt;7,L29+M29,IF(AL29&gt;$AF$11,0,IF($F$2=1,IF($J29&lt;$F$5,IF(G29&lt;=$F$16*12,G29,$F$16*12),G29),G29)))</f>
        <v>4200</v>
      </c>
      <c r="O29" s="180">
        <f t="shared" ref="O29:O76" si="28">+IFERROR(N29/K29,0)</f>
        <v>700</v>
      </c>
      <c r="Q29" s="58">
        <f t="shared" si="5"/>
        <v>2</v>
      </c>
      <c r="R29" s="52">
        <f t="shared" si="6"/>
        <v>24</v>
      </c>
      <c r="S29" s="52">
        <f t="shared" si="7"/>
        <v>1</v>
      </c>
      <c r="T29" s="54">
        <f>+T28</f>
        <v>0.1</v>
      </c>
      <c r="U29" s="52">
        <f t="shared" si="8"/>
        <v>1200</v>
      </c>
      <c r="V29" s="52">
        <f t="shared" ref="V29:V76" si="29">+Y28</f>
        <v>120</v>
      </c>
      <c r="W29" s="52">
        <f t="shared" ref="W29:W76" si="30">+T29*U29*S29</f>
        <v>120</v>
      </c>
      <c r="X29" s="87">
        <f t="shared" ref="X29:X76" si="31">+$U$23*V29</f>
        <v>4.8</v>
      </c>
      <c r="Y29" s="53">
        <f t="shared" ref="Y29:Y76" si="32">+(V29+W29+X29)</f>
        <v>244.8</v>
      </c>
      <c r="AA29" s="58">
        <f t="shared" si="9"/>
        <v>2</v>
      </c>
      <c r="AB29" s="52">
        <f t="shared" si="10"/>
        <v>24</v>
      </c>
      <c r="AC29" s="52">
        <f t="shared" si="11"/>
        <v>0</v>
      </c>
      <c r="AD29" s="54">
        <f>+AD28</f>
        <v>0.15</v>
      </c>
      <c r="AE29" s="52">
        <f t="shared" si="12"/>
        <v>4200</v>
      </c>
      <c r="AF29" s="52">
        <f t="shared" ref="AF29:AF76" si="33">+AI28</f>
        <v>0</v>
      </c>
      <c r="AG29" s="52">
        <f t="shared" ref="AG29:AG76" si="34">+AD29*AE29*$AC29</f>
        <v>0</v>
      </c>
      <c r="AH29" s="52">
        <f t="shared" si="13"/>
        <v>0</v>
      </c>
      <c r="AI29" s="53">
        <f t="shared" ref="AI29:AI76" si="35">+(AF29+AG29+AH29)</f>
        <v>0</v>
      </c>
      <c r="AK29" s="58">
        <f t="shared" ref="AK29:AL76" si="36">+AA29</f>
        <v>2</v>
      </c>
      <c r="AL29" s="52">
        <f t="shared" si="36"/>
        <v>24</v>
      </c>
      <c r="AM29" s="52">
        <f t="shared" si="14"/>
        <v>1</v>
      </c>
      <c r="AN29" s="54">
        <f t="shared" si="15"/>
        <v>0.13500000000000001</v>
      </c>
      <c r="AO29" s="54">
        <f t="shared" si="16"/>
        <v>0.18</v>
      </c>
      <c r="AP29" s="207">
        <f t="shared" ref="AP29:AP76" si="37">+G29</f>
        <v>4200</v>
      </c>
      <c r="AQ29" s="52">
        <f t="shared" ref="AQ29:AQ76" si="38">+AT28</f>
        <v>630</v>
      </c>
      <c r="AR29" s="52">
        <f t="shared" ref="AR29:AR76" si="39">+(AN29*AP29+AO29*(AP29/12))*AM29</f>
        <v>630</v>
      </c>
      <c r="AS29" s="48">
        <f t="shared" ref="AS29:AS76" si="40">+AQ29*$F$12</f>
        <v>25.2</v>
      </c>
      <c r="AT29" s="53">
        <f t="shared" ref="AT29:AT76" si="41">+(AQ29+AR29+AS29)</f>
        <v>1285.2</v>
      </c>
      <c r="AV29" s="58">
        <f t="shared" si="17"/>
        <v>2</v>
      </c>
      <c r="AW29" s="52">
        <f t="shared" si="17"/>
        <v>24</v>
      </c>
      <c r="AX29" s="48">
        <v>1</v>
      </c>
      <c r="AY29" s="54">
        <f t="shared" si="18"/>
        <v>0.13500000000000001</v>
      </c>
      <c r="AZ29" s="54">
        <f t="shared" si="19"/>
        <v>0.18</v>
      </c>
      <c r="BA29" s="207">
        <f t="shared" ref="BA29:BA76" si="42">+G29</f>
        <v>4200</v>
      </c>
      <c r="BB29" s="52">
        <f t="shared" ref="BB29:BB76" si="43">+BE28</f>
        <v>630</v>
      </c>
      <c r="BC29" s="48">
        <f t="shared" ref="BC29:BC76" si="44">+(AY29*BA29+AZ29*(BA29/12))*AX29</f>
        <v>630</v>
      </c>
      <c r="BD29" s="48">
        <f t="shared" ref="BD29:BD76" si="45">+BB29*$F$12</f>
        <v>25.2</v>
      </c>
      <c r="BE29" s="53">
        <f t="shared" ref="BE29:BE76" si="46">+(BB29+BC29+BD29)</f>
        <v>1285.2</v>
      </c>
    </row>
    <row r="30" spans="2:65" ht="15.75" thickTop="1" thickBot="1">
      <c r="B30" s="58">
        <f t="shared" si="20"/>
        <v>3</v>
      </c>
      <c r="C30" s="52">
        <f t="shared" si="20"/>
        <v>24</v>
      </c>
      <c r="D30" s="185">
        <f t="shared" ref="D30:D76" si="47">+D29*(1+$F$18)</f>
        <v>1</v>
      </c>
      <c r="E30" s="48">
        <f t="shared" si="21"/>
        <v>700</v>
      </c>
      <c r="F30" s="205">
        <f t="shared" si="22"/>
        <v>6</v>
      </c>
      <c r="G30" s="192">
        <f t="shared" si="23"/>
        <v>4200</v>
      </c>
      <c r="I30" s="58">
        <f t="shared" si="24"/>
        <v>3</v>
      </c>
      <c r="J30" s="74">
        <f t="shared" si="25"/>
        <v>24</v>
      </c>
      <c r="K30" s="74">
        <f t="shared" si="3"/>
        <v>6</v>
      </c>
      <c r="L30" s="52">
        <f t="shared" si="26"/>
        <v>3000</v>
      </c>
      <c r="M30" s="74">
        <f t="shared" si="4"/>
        <v>1200</v>
      </c>
      <c r="N30" s="74">
        <f t="shared" si="27"/>
        <v>4200</v>
      </c>
      <c r="O30" s="180">
        <f t="shared" si="28"/>
        <v>700</v>
      </c>
      <c r="Q30" s="58">
        <f t="shared" si="5"/>
        <v>3</v>
      </c>
      <c r="R30" s="52">
        <f t="shared" si="6"/>
        <v>25</v>
      </c>
      <c r="S30" s="52">
        <f t="shared" si="7"/>
        <v>1</v>
      </c>
      <c r="T30" s="54">
        <f t="shared" ref="T30:T76" si="48">+T29</f>
        <v>0.1</v>
      </c>
      <c r="U30" s="52">
        <f t="shared" si="8"/>
        <v>1200</v>
      </c>
      <c r="V30" s="52">
        <f t="shared" si="29"/>
        <v>244.8</v>
      </c>
      <c r="W30" s="52">
        <f t="shared" si="30"/>
        <v>120</v>
      </c>
      <c r="X30" s="87">
        <f t="shared" si="31"/>
        <v>9.7919999999999998</v>
      </c>
      <c r="Y30" s="53">
        <f t="shared" si="32"/>
        <v>374.59199999999998</v>
      </c>
      <c r="AA30" s="58">
        <f t="shared" si="9"/>
        <v>3</v>
      </c>
      <c r="AB30" s="52">
        <f t="shared" si="10"/>
        <v>25</v>
      </c>
      <c r="AC30" s="52">
        <f t="shared" si="11"/>
        <v>0</v>
      </c>
      <c r="AD30" s="54">
        <f t="shared" ref="AD30:AD76" si="49">+AD29</f>
        <v>0.15</v>
      </c>
      <c r="AE30" s="52">
        <f t="shared" si="12"/>
        <v>4200</v>
      </c>
      <c r="AF30" s="52">
        <f t="shared" si="33"/>
        <v>0</v>
      </c>
      <c r="AG30" s="52">
        <f t="shared" si="34"/>
        <v>0</v>
      </c>
      <c r="AH30" s="52">
        <f t="shared" si="13"/>
        <v>0</v>
      </c>
      <c r="AI30" s="53">
        <f t="shared" si="35"/>
        <v>0</v>
      </c>
      <c r="AK30" s="58">
        <f t="shared" si="36"/>
        <v>3</v>
      </c>
      <c r="AL30" s="52">
        <f t="shared" si="36"/>
        <v>25</v>
      </c>
      <c r="AM30" s="52">
        <f t="shared" si="14"/>
        <v>1</v>
      </c>
      <c r="AN30" s="54">
        <f t="shared" si="15"/>
        <v>0.13500000000000001</v>
      </c>
      <c r="AO30" s="54">
        <f t="shared" si="16"/>
        <v>0.18</v>
      </c>
      <c r="AP30" s="207">
        <f t="shared" si="37"/>
        <v>4200</v>
      </c>
      <c r="AQ30" s="52">
        <f t="shared" si="38"/>
        <v>1285.2</v>
      </c>
      <c r="AR30" s="52">
        <f t="shared" si="39"/>
        <v>630</v>
      </c>
      <c r="AS30" s="48">
        <f t="shared" si="40"/>
        <v>51.408000000000001</v>
      </c>
      <c r="AT30" s="53">
        <f t="shared" si="41"/>
        <v>1966.6079999999999</v>
      </c>
      <c r="AV30" s="58">
        <f t="shared" si="17"/>
        <v>3</v>
      </c>
      <c r="AW30" s="52">
        <f t="shared" si="17"/>
        <v>25</v>
      </c>
      <c r="AX30" s="48">
        <v>1</v>
      </c>
      <c r="AY30" s="54">
        <f t="shared" si="18"/>
        <v>0.13500000000000001</v>
      </c>
      <c r="AZ30" s="54">
        <f t="shared" si="19"/>
        <v>0.18</v>
      </c>
      <c r="BA30" s="207">
        <f t="shared" si="42"/>
        <v>4200</v>
      </c>
      <c r="BB30" s="52">
        <f t="shared" si="43"/>
        <v>1285.2</v>
      </c>
      <c r="BC30" s="48">
        <f t="shared" si="44"/>
        <v>630</v>
      </c>
      <c r="BD30" s="48">
        <f t="shared" si="45"/>
        <v>51.408000000000001</v>
      </c>
      <c r="BE30" s="53">
        <f t="shared" si="46"/>
        <v>1966.6079999999999</v>
      </c>
    </row>
    <row r="31" spans="2:65" ht="15.75" thickTop="1" thickBot="1">
      <c r="B31" s="58">
        <f t="shared" si="20"/>
        <v>4</v>
      </c>
      <c r="C31" s="52">
        <f t="shared" si="20"/>
        <v>25</v>
      </c>
      <c r="D31" s="185">
        <f t="shared" si="47"/>
        <v>1</v>
      </c>
      <c r="E31" s="48">
        <f t="shared" si="21"/>
        <v>700</v>
      </c>
      <c r="F31" s="205">
        <f t="shared" si="22"/>
        <v>6</v>
      </c>
      <c r="G31" s="192">
        <f t="shared" si="23"/>
        <v>4200</v>
      </c>
      <c r="I31" s="58">
        <f t="shared" si="24"/>
        <v>4</v>
      </c>
      <c r="J31" s="74">
        <f t="shared" si="25"/>
        <v>25</v>
      </c>
      <c r="K31" s="74">
        <f t="shared" si="3"/>
        <v>6</v>
      </c>
      <c r="L31" s="52">
        <f t="shared" si="26"/>
        <v>3000</v>
      </c>
      <c r="M31" s="74">
        <f t="shared" si="4"/>
        <v>1200</v>
      </c>
      <c r="N31" s="74">
        <f t="shared" si="27"/>
        <v>4200</v>
      </c>
      <c r="O31" s="180">
        <f t="shared" si="28"/>
        <v>700</v>
      </c>
      <c r="Q31" s="58">
        <f t="shared" si="5"/>
        <v>4</v>
      </c>
      <c r="R31" s="52">
        <f t="shared" si="6"/>
        <v>26</v>
      </c>
      <c r="S31" s="52">
        <f t="shared" si="7"/>
        <v>1</v>
      </c>
      <c r="T31" s="54">
        <f t="shared" si="48"/>
        <v>0.1</v>
      </c>
      <c r="U31" s="52">
        <f t="shared" si="8"/>
        <v>1200</v>
      </c>
      <c r="V31" s="52">
        <f t="shared" si="29"/>
        <v>374.59199999999998</v>
      </c>
      <c r="W31" s="52">
        <f t="shared" si="30"/>
        <v>120</v>
      </c>
      <c r="X31" s="87">
        <f t="shared" si="31"/>
        <v>14.98368</v>
      </c>
      <c r="Y31" s="53">
        <f t="shared" si="32"/>
        <v>509.57567999999998</v>
      </c>
      <c r="AA31" s="58">
        <f t="shared" si="9"/>
        <v>4</v>
      </c>
      <c r="AB31" s="52">
        <f t="shared" si="10"/>
        <v>26</v>
      </c>
      <c r="AC31" s="52">
        <f t="shared" si="11"/>
        <v>0</v>
      </c>
      <c r="AD31" s="54">
        <f t="shared" si="49"/>
        <v>0.15</v>
      </c>
      <c r="AE31" s="52">
        <f t="shared" si="12"/>
        <v>4200</v>
      </c>
      <c r="AF31" s="52">
        <f t="shared" si="33"/>
        <v>0</v>
      </c>
      <c r="AG31" s="52">
        <f t="shared" si="34"/>
        <v>0</v>
      </c>
      <c r="AH31" s="52">
        <f t="shared" si="13"/>
        <v>0</v>
      </c>
      <c r="AI31" s="53">
        <f t="shared" si="35"/>
        <v>0</v>
      </c>
      <c r="AK31" s="58">
        <f t="shared" si="36"/>
        <v>4</v>
      </c>
      <c r="AL31" s="52">
        <f t="shared" si="36"/>
        <v>26</v>
      </c>
      <c r="AM31" s="52">
        <f t="shared" si="14"/>
        <v>1</v>
      </c>
      <c r="AN31" s="54">
        <f t="shared" si="15"/>
        <v>0.13500000000000001</v>
      </c>
      <c r="AO31" s="54">
        <f t="shared" si="16"/>
        <v>0.18</v>
      </c>
      <c r="AP31" s="207">
        <f t="shared" si="37"/>
        <v>4200</v>
      </c>
      <c r="AQ31" s="52">
        <f t="shared" si="38"/>
        <v>1966.6079999999999</v>
      </c>
      <c r="AR31" s="52">
        <f t="shared" si="39"/>
        <v>630</v>
      </c>
      <c r="AS31" s="48">
        <f t="shared" si="40"/>
        <v>78.664320000000004</v>
      </c>
      <c r="AT31" s="53">
        <f t="shared" si="41"/>
        <v>2675.27232</v>
      </c>
      <c r="AV31" s="58">
        <f t="shared" si="17"/>
        <v>4</v>
      </c>
      <c r="AW31" s="52">
        <f t="shared" si="17"/>
        <v>26</v>
      </c>
      <c r="AX31" s="48">
        <v>1</v>
      </c>
      <c r="AY31" s="54">
        <f t="shared" si="18"/>
        <v>0.13500000000000001</v>
      </c>
      <c r="AZ31" s="54">
        <f t="shared" si="19"/>
        <v>0.18</v>
      </c>
      <c r="BA31" s="207">
        <f t="shared" si="42"/>
        <v>4200</v>
      </c>
      <c r="BB31" s="52">
        <f t="shared" si="43"/>
        <v>1966.6079999999999</v>
      </c>
      <c r="BC31" s="48">
        <f t="shared" si="44"/>
        <v>630</v>
      </c>
      <c r="BD31" s="48">
        <f t="shared" si="45"/>
        <v>78.664320000000004</v>
      </c>
      <c r="BE31" s="53">
        <f t="shared" si="46"/>
        <v>2675.27232</v>
      </c>
    </row>
    <row r="32" spans="2:65" ht="15.75" thickTop="1" thickBot="1">
      <c r="B32" s="58">
        <f t="shared" si="20"/>
        <v>5</v>
      </c>
      <c r="C32" s="52">
        <f t="shared" si="20"/>
        <v>26</v>
      </c>
      <c r="D32" s="185">
        <f t="shared" si="47"/>
        <v>1</v>
      </c>
      <c r="E32" s="48">
        <f t="shared" si="21"/>
        <v>700</v>
      </c>
      <c r="F32" s="205">
        <f t="shared" si="22"/>
        <v>6</v>
      </c>
      <c r="G32" s="192">
        <f t="shared" si="23"/>
        <v>4200</v>
      </c>
      <c r="I32" s="58">
        <f t="shared" si="24"/>
        <v>5</v>
      </c>
      <c r="J32" s="74">
        <f t="shared" si="25"/>
        <v>26</v>
      </c>
      <c r="K32" s="74">
        <f t="shared" si="3"/>
        <v>6</v>
      </c>
      <c r="L32" s="52">
        <f t="shared" si="26"/>
        <v>3000</v>
      </c>
      <c r="M32" s="74">
        <f t="shared" si="4"/>
        <v>1200</v>
      </c>
      <c r="N32" s="74">
        <f t="shared" si="27"/>
        <v>4200</v>
      </c>
      <c r="O32" s="180">
        <f t="shared" si="28"/>
        <v>700</v>
      </c>
      <c r="Q32" s="58">
        <f t="shared" si="5"/>
        <v>5</v>
      </c>
      <c r="R32" s="52">
        <f t="shared" si="6"/>
        <v>27</v>
      </c>
      <c r="S32" s="52">
        <f t="shared" si="7"/>
        <v>1</v>
      </c>
      <c r="T32" s="54">
        <f t="shared" si="48"/>
        <v>0.1</v>
      </c>
      <c r="U32" s="52">
        <f t="shared" si="8"/>
        <v>1200</v>
      </c>
      <c r="V32" s="52">
        <f t="shared" si="29"/>
        <v>509.57567999999998</v>
      </c>
      <c r="W32" s="52">
        <f t="shared" si="30"/>
        <v>120</v>
      </c>
      <c r="X32" s="87">
        <f t="shared" si="31"/>
        <v>20.383027200000001</v>
      </c>
      <c r="Y32" s="53">
        <f t="shared" si="32"/>
        <v>649.95870719999994</v>
      </c>
      <c r="AA32" s="58">
        <f t="shared" si="9"/>
        <v>5</v>
      </c>
      <c r="AB32" s="52">
        <f t="shared" si="10"/>
        <v>27</v>
      </c>
      <c r="AC32" s="52">
        <f t="shared" si="11"/>
        <v>0</v>
      </c>
      <c r="AD32" s="54">
        <f t="shared" si="49"/>
        <v>0.15</v>
      </c>
      <c r="AE32" s="52">
        <f t="shared" si="12"/>
        <v>4200</v>
      </c>
      <c r="AF32" s="52">
        <f t="shared" si="33"/>
        <v>0</v>
      </c>
      <c r="AG32" s="52">
        <f t="shared" si="34"/>
        <v>0</v>
      </c>
      <c r="AH32" s="52">
        <f t="shared" si="13"/>
        <v>0</v>
      </c>
      <c r="AI32" s="53">
        <f t="shared" si="35"/>
        <v>0</v>
      </c>
      <c r="AK32" s="58">
        <f t="shared" si="36"/>
        <v>5</v>
      </c>
      <c r="AL32" s="52">
        <f t="shared" si="36"/>
        <v>27</v>
      </c>
      <c r="AM32" s="52">
        <f t="shared" si="14"/>
        <v>1</v>
      </c>
      <c r="AN32" s="54">
        <f t="shared" si="15"/>
        <v>0.13500000000000001</v>
      </c>
      <c r="AO32" s="54">
        <f t="shared" si="16"/>
        <v>0.18</v>
      </c>
      <c r="AP32" s="207">
        <f t="shared" si="37"/>
        <v>4200</v>
      </c>
      <c r="AQ32" s="52">
        <f t="shared" si="38"/>
        <v>2675.27232</v>
      </c>
      <c r="AR32" s="52">
        <f t="shared" si="39"/>
        <v>630</v>
      </c>
      <c r="AS32" s="48">
        <f t="shared" si="40"/>
        <v>107.01089280000001</v>
      </c>
      <c r="AT32" s="53">
        <f t="shared" si="41"/>
        <v>3412.2832128</v>
      </c>
      <c r="AV32" s="58">
        <f t="shared" si="17"/>
        <v>5</v>
      </c>
      <c r="AW32" s="52">
        <f t="shared" si="17"/>
        <v>27</v>
      </c>
      <c r="AX32" s="48">
        <v>1</v>
      </c>
      <c r="AY32" s="54">
        <f t="shared" si="18"/>
        <v>0.13500000000000001</v>
      </c>
      <c r="AZ32" s="54">
        <f t="shared" si="19"/>
        <v>0.18</v>
      </c>
      <c r="BA32" s="207">
        <f t="shared" si="42"/>
        <v>4200</v>
      </c>
      <c r="BB32" s="52">
        <f t="shared" si="43"/>
        <v>2675.27232</v>
      </c>
      <c r="BC32" s="48">
        <f t="shared" si="44"/>
        <v>630</v>
      </c>
      <c r="BD32" s="48">
        <f t="shared" si="45"/>
        <v>107.01089280000001</v>
      </c>
      <c r="BE32" s="53">
        <f t="shared" si="46"/>
        <v>3412.2832128</v>
      </c>
    </row>
    <row r="33" spans="2:57" ht="15.75" thickTop="1" thickBot="1">
      <c r="B33" s="58">
        <f t="shared" si="20"/>
        <v>6</v>
      </c>
      <c r="C33" s="52">
        <f t="shared" si="20"/>
        <v>27</v>
      </c>
      <c r="D33" s="185">
        <f t="shared" si="47"/>
        <v>1</v>
      </c>
      <c r="E33" s="48">
        <f t="shared" si="21"/>
        <v>700</v>
      </c>
      <c r="F33" s="205">
        <f t="shared" si="22"/>
        <v>6</v>
      </c>
      <c r="G33" s="192">
        <f t="shared" si="23"/>
        <v>4200</v>
      </c>
      <c r="I33" s="58">
        <f t="shared" si="24"/>
        <v>6</v>
      </c>
      <c r="J33" s="74">
        <f t="shared" si="25"/>
        <v>27</v>
      </c>
      <c r="K33" s="74">
        <f t="shared" si="3"/>
        <v>6</v>
      </c>
      <c r="L33" s="52">
        <f t="shared" si="26"/>
        <v>3000</v>
      </c>
      <c r="M33" s="74">
        <f t="shared" si="4"/>
        <v>1200</v>
      </c>
      <c r="N33" s="74">
        <f t="shared" si="27"/>
        <v>4200</v>
      </c>
      <c r="O33" s="180">
        <f t="shared" si="28"/>
        <v>700</v>
      </c>
      <c r="Q33" s="58">
        <f t="shared" si="5"/>
        <v>6</v>
      </c>
      <c r="R33" s="52">
        <f t="shared" si="6"/>
        <v>28</v>
      </c>
      <c r="S33" s="52">
        <f t="shared" si="7"/>
        <v>1</v>
      </c>
      <c r="T33" s="54">
        <f t="shared" si="48"/>
        <v>0.1</v>
      </c>
      <c r="U33" s="52">
        <f t="shared" si="8"/>
        <v>1200</v>
      </c>
      <c r="V33" s="52">
        <f t="shared" si="29"/>
        <v>649.95870719999994</v>
      </c>
      <c r="W33" s="52">
        <f t="shared" si="30"/>
        <v>120</v>
      </c>
      <c r="X33" s="87">
        <f t="shared" si="31"/>
        <v>25.998348287999999</v>
      </c>
      <c r="Y33" s="53">
        <f t="shared" si="32"/>
        <v>795.95705548799992</v>
      </c>
      <c r="AA33" s="58">
        <f t="shared" si="9"/>
        <v>6</v>
      </c>
      <c r="AB33" s="52">
        <f t="shared" si="10"/>
        <v>28</v>
      </c>
      <c r="AC33" s="52">
        <f t="shared" si="11"/>
        <v>0</v>
      </c>
      <c r="AD33" s="54">
        <f t="shared" si="49"/>
        <v>0.15</v>
      </c>
      <c r="AE33" s="52">
        <f t="shared" si="12"/>
        <v>4200</v>
      </c>
      <c r="AF33" s="52">
        <f t="shared" si="33"/>
        <v>0</v>
      </c>
      <c r="AG33" s="52">
        <f t="shared" si="34"/>
        <v>0</v>
      </c>
      <c r="AH33" s="52">
        <f t="shared" si="13"/>
        <v>0</v>
      </c>
      <c r="AI33" s="53">
        <f t="shared" si="35"/>
        <v>0</v>
      </c>
      <c r="AK33" s="58">
        <f t="shared" si="36"/>
        <v>6</v>
      </c>
      <c r="AL33" s="52">
        <f t="shared" si="36"/>
        <v>28</v>
      </c>
      <c r="AM33" s="52">
        <f t="shared" si="14"/>
        <v>1</v>
      </c>
      <c r="AN33" s="54">
        <f t="shared" si="15"/>
        <v>0.13500000000000001</v>
      </c>
      <c r="AO33" s="54">
        <f t="shared" si="16"/>
        <v>0.18</v>
      </c>
      <c r="AP33" s="207">
        <f t="shared" si="37"/>
        <v>4200</v>
      </c>
      <c r="AQ33" s="52">
        <f t="shared" si="38"/>
        <v>3412.2832128</v>
      </c>
      <c r="AR33" s="52">
        <f t="shared" si="39"/>
        <v>630</v>
      </c>
      <c r="AS33" s="48">
        <f t="shared" si="40"/>
        <v>136.491328512</v>
      </c>
      <c r="AT33" s="53">
        <f t="shared" si="41"/>
        <v>4178.7745413120001</v>
      </c>
      <c r="AV33" s="58">
        <f t="shared" si="17"/>
        <v>6</v>
      </c>
      <c r="AW33" s="52">
        <f t="shared" si="17"/>
        <v>28</v>
      </c>
      <c r="AX33" s="48">
        <v>1</v>
      </c>
      <c r="AY33" s="54">
        <f t="shared" si="18"/>
        <v>0.13500000000000001</v>
      </c>
      <c r="AZ33" s="54">
        <f t="shared" si="19"/>
        <v>0.18</v>
      </c>
      <c r="BA33" s="207">
        <f t="shared" si="42"/>
        <v>4200</v>
      </c>
      <c r="BB33" s="52">
        <f t="shared" si="43"/>
        <v>3412.2832128</v>
      </c>
      <c r="BC33" s="48">
        <f t="shared" si="44"/>
        <v>630</v>
      </c>
      <c r="BD33" s="48">
        <f t="shared" si="45"/>
        <v>136.491328512</v>
      </c>
      <c r="BE33" s="53">
        <f t="shared" si="46"/>
        <v>4178.7745413120001</v>
      </c>
    </row>
    <row r="34" spans="2:57" ht="15.75" thickTop="1" thickBot="1">
      <c r="B34" s="58">
        <f t="shared" si="20"/>
        <v>7</v>
      </c>
      <c r="C34" s="52">
        <f t="shared" si="20"/>
        <v>28</v>
      </c>
      <c r="D34" s="185">
        <f t="shared" si="47"/>
        <v>1</v>
      </c>
      <c r="E34" s="48">
        <f t="shared" si="21"/>
        <v>700</v>
      </c>
      <c r="F34" s="205">
        <f t="shared" si="22"/>
        <v>6</v>
      </c>
      <c r="G34" s="192">
        <f t="shared" si="23"/>
        <v>4200</v>
      </c>
      <c r="I34" s="58">
        <f t="shared" si="24"/>
        <v>7</v>
      </c>
      <c r="J34" s="74">
        <f t="shared" si="25"/>
        <v>28</v>
      </c>
      <c r="K34" s="74">
        <f t="shared" si="3"/>
        <v>6</v>
      </c>
      <c r="L34" s="52">
        <f t="shared" si="26"/>
        <v>3000</v>
      </c>
      <c r="M34" s="74">
        <f t="shared" si="4"/>
        <v>1200</v>
      </c>
      <c r="N34" s="74">
        <f t="shared" si="27"/>
        <v>4200</v>
      </c>
      <c r="O34" s="180">
        <f t="shared" si="28"/>
        <v>700</v>
      </c>
      <c r="Q34" s="58">
        <f t="shared" si="5"/>
        <v>7</v>
      </c>
      <c r="R34" s="52">
        <f t="shared" si="6"/>
        <v>29</v>
      </c>
      <c r="S34" s="52">
        <f t="shared" si="7"/>
        <v>1</v>
      </c>
      <c r="T34" s="54">
        <f t="shared" si="48"/>
        <v>0.1</v>
      </c>
      <c r="U34" s="52">
        <f t="shared" si="8"/>
        <v>1200</v>
      </c>
      <c r="V34" s="52">
        <f t="shared" si="29"/>
        <v>795.95705548799992</v>
      </c>
      <c r="W34" s="52">
        <f t="shared" si="30"/>
        <v>120</v>
      </c>
      <c r="X34" s="87">
        <f t="shared" si="31"/>
        <v>31.838282219519996</v>
      </c>
      <c r="Y34" s="53">
        <f t="shared" si="32"/>
        <v>947.79533770751993</v>
      </c>
      <c r="AA34" s="58">
        <f t="shared" si="9"/>
        <v>7</v>
      </c>
      <c r="AB34" s="52">
        <f t="shared" si="10"/>
        <v>29</v>
      </c>
      <c r="AC34" s="52">
        <f t="shared" si="11"/>
        <v>0</v>
      </c>
      <c r="AD34" s="54">
        <f t="shared" si="49"/>
        <v>0.15</v>
      </c>
      <c r="AE34" s="52">
        <f t="shared" si="12"/>
        <v>4200</v>
      </c>
      <c r="AF34" s="52">
        <f t="shared" si="33"/>
        <v>0</v>
      </c>
      <c r="AG34" s="52">
        <f t="shared" si="34"/>
        <v>0</v>
      </c>
      <c r="AH34" s="52">
        <f t="shared" si="13"/>
        <v>0</v>
      </c>
      <c r="AI34" s="53">
        <f t="shared" si="35"/>
        <v>0</v>
      </c>
      <c r="AK34" s="58">
        <f t="shared" si="36"/>
        <v>7</v>
      </c>
      <c r="AL34" s="52">
        <f t="shared" si="36"/>
        <v>29</v>
      </c>
      <c r="AM34" s="52">
        <f t="shared" si="14"/>
        <v>1</v>
      </c>
      <c r="AN34" s="54">
        <f t="shared" si="15"/>
        <v>0.13500000000000001</v>
      </c>
      <c r="AO34" s="54">
        <f t="shared" si="16"/>
        <v>0.18</v>
      </c>
      <c r="AP34" s="207">
        <f t="shared" si="37"/>
        <v>4200</v>
      </c>
      <c r="AQ34" s="52">
        <f t="shared" si="38"/>
        <v>4178.7745413120001</v>
      </c>
      <c r="AR34" s="52">
        <f t="shared" si="39"/>
        <v>630</v>
      </c>
      <c r="AS34" s="48">
        <f t="shared" si="40"/>
        <v>167.15098165248</v>
      </c>
      <c r="AT34" s="53">
        <f t="shared" si="41"/>
        <v>4975.9255229644805</v>
      </c>
      <c r="AV34" s="58">
        <f t="shared" si="17"/>
        <v>7</v>
      </c>
      <c r="AW34" s="52">
        <f t="shared" si="17"/>
        <v>29</v>
      </c>
      <c r="AX34" s="48">
        <v>1</v>
      </c>
      <c r="AY34" s="54">
        <f t="shared" si="18"/>
        <v>0.13500000000000001</v>
      </c>
      <c r="AZ34" s="54">
        <f t="shared" si="19"/>
        <v>0.18</v>
      </c>
      <c r="BA34" s="207">
        <f t="shared" si="42"/>
        <v>4200</v>
      </c>
      <c r="BB34" s="52">
        <f t="shared" si="43"/>
        <v>4178.7745413120001</v>
      </c>
      <c r="BC34" s="48">
        <f t="shared" si="44"/>
        <v>630</v>
      </c>
      <c r="BD34" s="48">
        <f t="shared" si="45"/>
        <v>167.15098165248</v>
      </c>
      <c r="BE34" s="53">
        <f t="shared" si="46"/>
        <v>4975.9255229644805</v>
      </c>
    </row>
    <row r="35" spans="2:57" ht="15.75" thickTop="1" thickBot="1">
      <c r="B35" s="58">
        <f t="shared" si="20"/>
        <v>8</v>
      </c>
      <c r="C35" s="52">
        <f t="shared" si="20"/>
        <v>29</v>
      </c>
      <c r="D35" s="185">
        <f t="shared" si="47"/>
        <v>1</v>
      </c>
      <c r="E35" s="48">
        <f t="shared" si="21"/>
        <v>700</v>
      </c>
      <c r="F35" s="205">
        <f t="shared" si="22"/>
        <v>6</v>
      </c>
      <c r="G35" s="192">
        <f t="shared" si="23"/>
        <v>4200</v>
      </c>
      <c r="I35" s="58">
        <f t="shared" si="24"/>
        <v>8</v>
      </c>
      <c r="J35" s="74">
        <f t="shared" si="25"/>
        <v>29</v>
      </c>
      <c r="K35" s="74">
        <f t="shared" si="3"/>
        <v>6</v>
      </c>
      <c r="L35" s="52">
        <f t="shared" si="26"/>
        <v>3000</v>
      </c>
      <c r="M35" s="74">
        <f t="shared" si="4"/>
        <v>1200</v>
      </c>
      <c r="N35" s="74">
        <f t="shared" si="27"/>
        <v>4200</v>
      </c>
      <c r="O35" s="180">
        <f t="shared" si="28"/>
        <v>700</v>
      </c>
      <c r="Q35" s="58">
        <f t="shared" si="5"/>
        <v>8</v>
      </c>
      <c r="R35" s="52">
        <f t="shared" si="6"/>
        <v>30</v>
      </c>
      <c r="S35" s="52">
        <f t="shared" si="7"/>
        <v>1</v>
      </c>
      <c r="T35" s="54">
        <f t="shared" si="48"/>
        <v>0.1</v>
      </c>
      <c r="U35" s="52">
        <f t="shared" si="8"/>
        <v>1200</v>
      </c>
      <c r="V35" s="52">
        <f t="shared" si="29"/>
        <v>947.79533770751993</v>
      </c>
      <c r="W35" s="52">
        <f t="shared" si="30"/>
        <v>120</v>
      </c>
      <c r="X35" s="87">
        <f t="shared" si="31"/>
        <v>37.911813508300796</v>
      </c>
      <c r="Y35" s="53">
        <f t="shared" si="32"/>
        <v>1105.7071512158209</v>
      </c>
      <c r="AA35" s="58">
        <f t="shared" si="9"/>
        <v>8</v>
      </c>
      <c r="AB35" s="52">
        <f t="shared" si="10"/>
        <v>30</v>
      </c>
      <c r="AC35" s="52">
        <f t="shared" si="11"/>
        <v>0</v>
      </c>
      <c r="AD35" s="54">
        <f t="shared" si="49"/>
        <v>0.15</v>
      </c>
      <c r="AE35" s="52">
        <f t="shared" si="12"/>
        <v>4200</v>
      </c>
      <c r="AF35" s="52">
        <f t="shared" si="33"/>
        <v>0</v>
      </c>
      <c r="AG35" s="52">
        <f t="shared" si="34"/>
        <v>0</v>
      </c>
      <c r="AH35" s="52">
        <f t="shared" si="13"/>
        <v>0</v>
      </c>
      <c r="AI35" s="53">
        <f t="shared" si="35"/>
        <v>0</v>
      </c>
      <c r="AK35" s="58">
        <f t="shared" si="36"/>
        <v>8</v>
      </c>
      <c r="AL35" s="52">
        <f t="shared" si="36"/>
        <v>30</v>
      </c>
      <c r="AM35" s="52">
        <f t="shared" si="14"/>
        <v>1</v>
      </c>
      <c r="AN35" s="54">
        <f t="shared" si="15"/>
        <v>0.13500000000000001</v>
      </c>
      <c r="AO35" s="54">
        <f t="shared" si="16"/>
        <v>0.18</v>
      </c>
      <c r="AP35" s="207">
        <f t="shared" si="37"/>
        <v>4200</v>
      </c>
      <c r="AQ35" s="52">
        <f t="shared" si="38"/>
        <v>4975.9255229644805</v>
      </c>
      <c r="AR35" s="52">
        <f t="shared" si="39"/>
        <v>630</v>
      </c>
      <c r="AS35" s="48">
        <f t="shared" si="40"/>
        <v>199.03702091857923</v>
      </c>
      <c r="AT35" s="53">
        <f t="shared" si="41"/>
        <v>5804.9625438830599</v>
      </c>
      <c r="AV35" s="58">
        <f t="shared" si="17"/>
        <v>8</v>
      </c>
      <c r="AW35" s="52">
        <f t="shared" si="17"/>
        <v>30</v>
      </c>
      <c r="AX35" s="48">
        <v>1</v>
      </c>
      <c r="AY35" s="54">
        <f t="shared" si="18"/>
        <v>0.13500000000000001</v>
      </c>
      <c r="AZ35" s="54">
        <f t="shared" si="19"/>
        <v>0.18</v>
      </c>
      <c r="BA35" s="207">
        <f t="shared" si="42"/>
        <v>4200</v>
      </c>
      <c r="BB35" s="52">
        <f t="shared" si="43"/>
        <v>4975.9255229644805</v>
      </c>
      <c r="BC35" s="48">
        <f t="shared" si="44"/>
        <v>630</v>
      </c>
      <c r="BD35" s="48">
        <f t="shared" si="45"/>
        <v>199.03702091857923</v>
      </c>
      <c r="BE35" s="53">
        <f t="shared" si="46"/>
        <v>5804.9625438830599</v>
      </c>
    </row>
    <row r="36" spans="2:57" ht="15.75" thickTop="1" thickBot="1">
      <c r="B36" s="58">
        <f t="shared" si="20"/>
        <v>9</v>
      </c>
      <c r="C36" s="52">
        <f t="shared" si="20"/>
        <v>30</v>
      </c>
      <c r="D36" s="185">
        <f t="shared" si="47"/>
        <v>1</v>
      </c>
      <c r="E36" s="48">
        <f t="shared" si="21"/>
        <v>700</v>
      </c>
      <c r="F36" s="205">
        <f t="shared" si="22"/>
        <v>6</v>
      </c>
      <c r="G36" s="192">
        <f t="shared" si="23"/>
        <v>4200</v>
      </c>
      <c r="I36" s="58">
        <f t="shared" si="24"/>
        <v>9</v>
      </c>
      <c r="J36" s="74">
        <f t="shared" si="25"/>
        <v>30</v>
      </c>
      <c r="K36" s="74">
        <f t="shared" si="3"/>
        <v>6</v>
      </c>
      <c r="L36" s="52">
        <f t="shared" si="26"/>
        <v>3000</v>
      </c>
      <c r="M36" s="74">
        <f t="shared" si="4"/>
        <v>1200</v>
      </c>
      <c r="N36" s="74">
        <f t="shared" si="27"/>
        <v>4200</v>
      </c>
      <c r="O36" s="180">
        <f t="shared" si="28"/>
        <v>700</v>
      </c>
      <c r="Q36" s="58">
        <f t="shared" si="5"/>
        <v>9</v>
      </c>
      <c r="R36" s="52">
        <f t="shared" si="6"/>
        <v>31</v>
      </c>
      <c r="S36" s="52">
        <f t="shared" si="7"/>
        <v>1</v>
      </c>
      <c r="T36" s="54">
        <f t="shared" si="48"/>
        <v>0.1</v>
      </c>
      <c r="U36" s="52">
        <f t="shared" si="8"/>
        <v>1200</v>
      </c>
      <c r="V36" s="52">
        <f t="shared" si="29"/>
        <v>1105.7071512158209</v>
      </c>
      <c r="W36" s="52">
        <f t="shared" si="30"/>
        <v>120</v>
      </c>
      <c r="X36" s="87">
        <f t="shared" si="31"/>
        <v>44.228286048632839</v>
      </c>
      <c r="Y36" s="53">
        <f t="shared" si="32"/>
        <v>1269.9354372644536</v>
      </c>
      <c r="AA36" s="58">
        <f t="shared" si="9"/>
        <v>9</v>
      </c>
      <c r="AB36" s="52">
        <f t="shared" si="10"/>
        <v>31</v>
      </c>
      <c r="AC36" s="52">
        <f t="shared" si="11"/>
        <v>0</v>
      </c>
      <c r="AD36" s="54">
        <f t="shared" si="49"/>
        <v>0.15</v>
      </c>
      <c r="AE36" s="52">
        <f t="shared" si="12"/>
        <v>4200</v>
      </c>
      <c r="AF36" s="52">
        <f t="shared" si="33"/>
        <v>0</v>
      </c>
      <c r="AG36" s="52">
        <f t="shared" si="34"/>
        <v>0</v>
      </c>
      <c r="AH36" s="52">
        <f t="shared" si="13"/>
        <v>0</v>
      </c>
      <c r="AI36" s="53">
        <f t="shared" si="35"/>
        <v>0</v>
      </c>
      <c r="AK36" s="58">
        <f t="shared" si="36"/>
        <v>9</v>
      </c>
      <c r="AL36" s="52">
        <f t="shared" si="36"/>
        <v>31</v>
      </c>
      <c r="AM36" s="52">
        <f t="shared" si="14"/>
        <v>1</v>
      </c>
      <c r="AN36" s="54">
        <f t="shared" si="15"/>
        <v>0.13500000000000001</v>
      </c>
      <c r="AO36" s="54">
        <f t="shared" si="16"/>
        <v>0.18</v>
      </c>
      <c r="AP36" s="207">
        <f t="shared" si="37"/>
        <v>4200</v>
      </c>
      <c r="AQ36" s="52">
        <f t="shared" si="38"/>
        <v>5804.9625438830599</v>
      </c>
      <c r="AR36" s="52">
        <f t="shared" si="39"/>
        <v>630</v>
      </c>
      <c r="AS36" s="48">
        <f t="shared" si="40"/>
        <v>232.19850175532241</v>
      </c>
      <c r="AT36" s="53">
        <f t="shared" si="41"/>
        <v>6667.1610456383823</v>
      </c>
      <c r="AV36" s="58">
        <f t="shared" si="17"/>
        <v>9</v>
      </c>
      <c r="AW36" s="52">
        <f t="shared" si="17"/>
        <v>31</v>
      </c>
      <c r="AX36" s="48">
        <v>1</v>
      </c>
      <c r="AY36" s="54">
        <f t="shared" si="18"/>
        <v>0.13500000000000001</v>
      </c>
      <c r="AZ36" s="54">
        <f t="shared" si="19"/>
        <v>0.18</v>
      </c>
      <c r="BA36" s="207">
        <f t="shared" si="42"/>
        <v>4200</v>
      </c>
      <c r="BB36" s="52">
        <f t="shared" si="43"/>
        <v>5804.9625438830599</v>
      </c>
      <c r="BC36" s="48">
        <f t="shared" si="44"/>
        <v>630</v>
      </c>
      <c r="BD36" s="48">
        <f t="shared" si="45"/>
        <v>232.19850175532241</v>
      </c>
      <c r="BE36" s="53">
        <f t="shared" si="46"/>
        <v>6667.1610456383823</v>
      </c>
    </row>
    <row r="37" spans="2:57" ht="15.75" thickTop="1" thickBot="1">
      <c r="B37" s="58">
        <f t="shared" si="20"/>
        <v>10</v>
      </c>
      <c r="C37" s="52">
        <f t="shared" si="20"/>
        <v>31</v>
      </c>
      <c r="D37" s="185">
        <f t="shared" si="47"/>
        <v>1</v>
      </c>
      <c r="E37" s="48">
        <f t="shared" si="21"/>
        <v>700</v>
      </c>
      <c r="F37" s="205">
        <f t="shared" si="22"/>
        <v>6</v>
      </c>
      <c r="G37" s="192">
        <f t="shared" si="23"/>
        <v>4200</v>
      </c>
      <c r="I37" s="58">
        <f t="shared" si="24"/>
        <v>10</v>
      </c>
      <c r="J37" s="74">
        <f t="shared" si="25"/>
        <v>31</v>
      </c>
      <c r="K37" s="74">
        <f t="shared" si="3"/>
        <v>6</v>
      </c>
      <c r="L37" s="52">
        <f t="shared" si="26"/>
        <v>3000</v>
      </c>
      <c r="M37" s="74">
        <f t="shared" si="4"/>
        <v>1200</v>
      </c>
      <c r="N37" s="74">
        <f t="shared" si="27"/>
        <v>4200</v>
      </c>
      <c r="O37" s="180">
        <f t="shared" si="28"/>
        <v>700</v>
      </c>
      <c r="Q37" s="58">
        <f t="shared" si="5"/>
        <v>10</v>
      </c>
      <c r="R37" s="52">
        <f t="shared" si="6"/>
        <v>32</v>
      </c>
      <c r="S37" s="52">
        <f t="shared" si="7"/>
        <v>1</v>
      </c>
      <c r="T37" s="54">
        <f t="shared" si="48"/>
        <v>0.1</v>
      </c>
      <c r="U37" s="52">
        <f t="shared" si="8"/>
        <v>1200</v>
      </c>
      <c r="V37" s="52">
        <f t="shared" si="29"/>
        <v>1269.9354372644536</v>
      </c>
      <c r="W37" s="52">
        <f t="shared" si="30"/>
        <v>120</v>
      </c>
      <c r="X37" s="87">
        <f t="shared" si="31"/>
        <v>50.797417490578148</v>
      </c>
      <c r="Y37" s="53">
        <f t="shared" si="32"/>
        <v>1440.7328547550319</v>
      </c>
      <c r="AA37" s="58">
        <f t="shared" si="9"/>
        <v>10</v>
      </c>
      <c r="AB37" s="52">
        <f t="shared" si="10"/>
        <v>32</v>
      </c>
      <c r="AC37" s="52">
        <f t="shared" si="11"/>
        <v>0</v>
      </c>
      <c r="AD37" s="54">
        <f t="shared" si="49"/>
        <v>0.15</v>
      </c>
      <c r="AE37" s="52">
        <f t="shared" si="12"/>
        <v>4200</v>
      </c>
      <c r="AF37" s="52">
        <f t="shared" si="33"/>
        <v>0</v>
      </c>
      <c r="AG37" s="52">
        <f t="shared" si="34"/>
        <v>0</v>
      </c>
      <c r="AH37" s="52">
        <f t="shared" si="13"/>
        <v>0</v>
      </c>
      <c r="AI37" s="53">
        <f t="shared" si="35"/>
        <v>0</v>
      </c>
      <c r="AK37" s="58">
        <f t="shared" si="36"/>
        <v>10</v>
      </c>
      <c r="AL37" s="52">
        <f t="shared" si="36"/>
        <v>32</v>
      </c>
      <c r="AM37" s="52">
        <f t="shared" si="14"/>
        <v>1</v>
      </c>
      <c r="AN37" s="54">
        <f t="shared" si="15"/>
        <v>0.13500000000000001</v>
      </c>
      <c r="AO37" s="54">
        <f t="shared" si="16"/>
        <v>0.18</v>
      </c>
      <c r="AP37" s="207">
        <f t="shared" si="37"/>
        <v>4200</v>
      </c>
      <c r="AQ37" s="52">
        <f t="shared" si="38"/>
        <v>6667.1610456383823</v>
      </c>
      <c r="AR37" s="52">
        <f t="shared" si="39"/>
        <v>630</v>
      </c>
      <c r="AS37" s="48">
        <f t="shared" si="40"/>
        <v>266.68644182553533</v>
      </c>
      <c r="AT37" s="53">
        <f t="shared" si="41"/>
        <v>7563.8474874639178</v>
      </c>
      <c r="AV37" s="58">
        <f t="shared" si="17"/>
        <v>10</v>
      </c>
      <c r="AW37" s="52">
        <f t="shared" si="17"/>
        <v>32</v>
      </c>
      <c r="AX37" s="48">
        <v>1</v>
      </c>
      <c r="AY37" s="54">
        <f t="shared" si="18"/>
        <v>0.13500000000000001</v>
      </c>
      <c r="AZ37" s="54">
        <f t="shared" si="19"/>
        <v>0.18</v>
      </c>
      <c r="BA37" s="207">
        <f t="shared" si="42"/>
        <v>4200</v>
      </c>
      <c r="BB37" s="52">
        <f t="shared" si="43"/>
        <v>6667.1610456383823</v>
      </c>
      <c r="BC37" s="48">
        <f t="shared" si="44"/>
        <v>630</v>
      </c>
      <c r="BD37" s="48">
        <f t="shared" si="45"/>
        <v>266.68644182553533</v>
      </c>
      <c r="BE37" s="53">
        <f t="shared" si="46"/>
        <v>7563.8474874639178</v>
      </c>
    </row>
    <row r="38" spans="2:57" ht="15.75" thickTop="1" thickBot="1">
      <c r="B38" s="58">
        <f t="shared" si="20"/>
        <v>11</v>
      </c>
      <c r="C38" s="52">
        <f t="shared" si="20"/>
        <v>32</v>
      </c>
      <c r="D38" s="185">
        <f t="shared" si="47"/>
        <v>1</v>
      </c>
      <c r="E38" s="48">
        <f t="shared" si="21"/>
        <v>700</v>
      </c>
      <c r="F38" s="205">
        <f t="shared" si="22"/>
        <v>6</v>
      </c>
      <c r="G38" s="192">
        <f t="shared" si="23"/>
        <v>4200</v>
      </c>
      <c r="I38" s="58">
        <f t="shared" si="24"/>
        <v>11</v>
      </c>
      <c r="J38" s="74">
        <f t="shared" si="25"/>
        <v>32</v>
      </c>
      <c r="K38" s="74">
        <f t="shared" si="3"/>
        <v>6</v>
      </c>
      <c r="L38" s="52">
        <f t="shared" si="26"/>
        <v>3000</v>
      </c>
      <c r="M38" s="74">
        <f t="shared" si="4"/>
        <v>1200</v>
      </c>
      <c r="N38" s="74">
        <f t="shared" si="27"/>
        <v>4200</v>
      </c>
      <c r="O38" s="180">
        <f t="shared" si="28"/>
        <v>700</v>
      </c>
      <c r="Q38" s="58">
        <f t="shared" si="5"/>
        <v>11</v>
      </c>
      <c r="R38" s="52">
        <f t="shared" si="6"/>
        <v>33</v>
      </c>
      <c r="S38" s="52">
        <f t="shared" si="7"/>
        <v>1</v>
      </c>
      <c r="T38" s="54">
        <f t="shared" si="48"/>
        <v>0.1</v>
      </c>
      <c r="U38" s="52">
        <f t="shared" si="8"/>
        <v>1200</v>
      </c>
      <c r="V38" s="52">
        <f t="shared" si="29"/>
        <v>1440.7328547550319</v>
      </c>
      <c r="W38" s="52">
        <f t="shared" si="30"/>
        <v>120</v>
      </c>
      <c r="X38" s="87">
        <f t="shared" si="31"/>
        <v>57.629314190201278</v>
      </c>
      <c r="Y38" s="53">
        <f t="shared" si="32"/>
        <v>1618.3621689452332</v>
      </c>
      <c r="AA38" s="58">
        <f t="shared" si="9"/>
        <v>11</v>
      </c>
      <c r="AB38" s="52">
        <f t="shared" si="10"/>
        <v>33</v>
      </c>
      <c r="AC38" s="52">
        <f t="shared" si="11"/>
        <v>0</v>
      </c>
      <c r="AD38" s="54">
        <f t="shared" si="49"/>
        <v>0.15</v>
      </c>
      <c r="AE38" s="52">
        <f t="shared" si="12"/>
        <v>4200</v>
      </c>
      <c r="AF38" s="52">
        <f t="shared" si="33"/>
        <v>0</v>
      </c>
      <c r="AG38" s="52">
        <f t="shared" si="34"/>
        <v>0</v>
      </c>
      <c r="AH38" s="52">
        <f t="shared" si="13"/>
        <v>0</v>
      </c>
      <c r="AI38" s="53">
        <f t="shared" si="35"/>
        <v>0</v>
      </c>
      <c r="AK38" s="58">
        <f t="shared" si="36"/>
        <v>11</v>
      </c>
      <c r="AL38" s="52">
        <f t="shared" si="36"/>
        <v>33</v>
      </c>
      <c r="AM38" s="52">
        <f t="shared" si="14"/>
        <v>1</v>
      </c>
      <c r="AN38" s="54">
        <f t="shared" si="15"/>
        <v>0.13500000000000001</v>
      </c>
      <c r="AO38" s="54">
        <f t="shared" si="16"/>
        <v>0.18</v>
      </c>
      <c r="AP38" s="207">
        <f t="shared" si="37"/>
        <v>4200</v>
      </c>
      <c r="AQ38" s="52">
        <f t="shared" si="38"/>
        <v>7563.8474874639178</v>
      </c>
      <c r="AR38" s="52">
        <f t="shared" si="39"/>
        <v>630</v>
      </c>
      <c r="AS38" s="48">
        <f t="shared" si="40"/>
        <v>302.55389949855675</v>
      </c>
      <c r="AT38" s="53">
        <f t="shared" si="41"/>
        <v>8496.4013869624741</v>
      </c>
      <c r="AV38" s="58">
        <f t="shared" si="17"/>
        <v>11</v>
      </c>
      <c r="AW38" s="52">
        <f t="shared" si="17"/>
        <v>33</v>
      </c>
      <c r="AX38" s="48">
        <v>1</v>
      </c>
      <c r="AY38" s="54">
        <f t="shared" si="18"/>
        <v>0.13500000000000001</v>
      </c>
      <c r="AZ38" s="54">
        <f t="shared" si="19"/>
        <v>0.18</v>
      </c>
      <c r="BA38" s="207">
        <f t="shared" si="42"/>
        <v>4200</v>
      </c>
      <c r="BB38" s="52">
        <f t="shared" si="43"/>
        <v>7563.8474874639178</v>
      </c>
      <c r="BC38" s="48">
        <f t="shared" si="44"/>
        <v>630</v>
      </c>
      <c r="BD38" s="48">
        <f t="shared" si="45"/>
        <v>302.55389949855675</v>
      </c>
      <c r="BE38" s="53">
        <f t="shared" si="46"/>
        <v>8496.4013869624741</v>
      </c>
    </row>
    <row r="39" spans="2:57" ht="15.75" thickTop="1" thickBot="1">
      <c r="B39" s="58">
        <f t="shared" si="20"/>
        <v>12</v>
      </c>
      <c r="C39" s="52">
        <f t="shared" si="20"/>
        <v>33</v>
      </c>
      <c r="D39" s="185">
        <f t="shared" si="47"/>
        <v>1</v>
      </c>
      <c r="E39" s="48">
        <f t="shared" si="21"/>
        <v>700</v>
      </c>
      <c r="F39" s="205">
        <f t="shared" si="22"/>
        <v>6</v>
      </c>
      <c r="G39" s="192">
        <f t="shared" si="23"/>
        <v>4200</v>
      </c>
      <c r="I39" s="58">
        <f t="shared" si="24"/>
        <v>12</v>
      </c>
      <c r="J39" s="74">
        <f t="shared" si="25"/>
        <v>33</v>
      </c>
      <c r="K39" s="74">
        <f t="shared" si="3"/>
        <v>6</v>
      </c>
      <c r="L39" s="52">
        <f t="shared" si="26"/>
        <v>3000</v>
      </c>
      <c r="M39" s="74">
        <f t="shared" si="4"/>
        <v>1200</v>
      </c>
      <c r="N39" s="74">
        <f t="shared" si="27"/>
        <v>4200</v>
      </c>
      <c r="O39" s="180">
        <f t="shared" si="28"/>
        <v>700</v>
      </c>
      <c r="Q39" s="58">
        <f t="shared" si="5"/>
        <v>12</v>
      </c>
      <c r="R39" s="52">
        <f t="shared" si="6"/>
        <v>34</v>
      </c>
      <c r="S39" s="52">
        <f t="shared" si="7"/>
        <v>1</v>
      </c>
      <c r="T39" s="54">
        <f t="shared" si="48"/>
        <v>0.1</v>
      </c>
      <c r="U39" s="52">
        <f t="shared" si="8"/>
        <v>1200</v>
      </c>
      <c r="V39" s="52">
        <f t="shared" si="29"/>
        <v>1618.3621689452332</v>
      </c>
      <c r="W39" s="52">
        <f t="shared" si="30"/>
        <v>120</v>
      </c>
      <c r="X39" s="87">
        <f t="shared" si="31"/>
        <v>64.734486757809321</v>
      </c>
      <c r="Y39" s="53">
        <f t="shared" si="32"/>
        <v>1803.0966557030424</v>
      </c>
      <c r="AA39" s="58">
        <f t="shared" si="9"/>
        <v>12</v>
      </c>
      <c r="AB39" s="52">
        <f t="shared" si="10"/>
        <v>34</v>
      </c>
      <c r="AC39" s="52">
        <f t="shared" si="11"/>
        <v>0</v>
      </c>
      <c r="AD39" s="54">
        <f t="shared" si="49"/>
        <v>0.15</v>
      </c>
      <c r="AE39" s="52">
        <f t="shared" si="12"/>
        <v>4200</v>
      </c>
      <c r="AF39" s="52">
        <f t="shared" si="33"/>
        <v>0</v>
      </c>
      <c r="AG39" s="52">
        <f t="shared" si="34"/>
        <v>0</v>
      </c>
      <c r="AH39" s="52">
        <f t="shared" si="13"/>
        <v>0</v>
      </c>
      <c r="AI39" s="53">
        <f t="shared" si="35"/>
        <v>0</v>
      </c>
      <c r="AK39" s="58">
        <f t="shared" si="36"/>
        <v>12</v>
      </c>
      <c r="AL39" s="52">
        <f t="shared" si="36"/>
        <v>34</v>
      </c>
      <c r="AM39" s="52">
        <f t="shared" si="14"/>
        <v>1</v>
      </c>
      <c r="AN39" s="54">
        <f t="shared" si="15"/>
        <v>0.13500000000000001</v>
      </c>
      <c r="AO39" s="54">
        <f t="shared" si="16"/>
        <v>0.18</v>
      </c>
      <c r="AP39" s="207">
        <f t="shared" si="37"/>
        <v>4200</v>
      </c>
      <c r="AQ39" s="52">
        <f t="shared" si="38"/>
        <v>8496.4013869624741</v>
      </c>
      <c r="AR39" s="52">
        <f t="shared" si="39"/>
        <v>630</v>
      </c>
      <c r="AS39" s="48">
        <f t="shared" si="40"/>
        <v>339.85605547849894</v>
      </c>
      <c r="AT39" s="53">
        <f t="shared" si="41"/>
        <v>9466.2574424409722</v>
      </c>
      <c r="AV39" s="58">
        <f t="shared" si="17"/>
        <v>12</v>
      </c>
      <c r="AW39" s="52">
        <f t="shared" si="17"/>
        <v>34</v>
      </c>
      <c r="AX39" s="48">
        <v>1</v>
      </c>
      <c r="AY39" s="54">
        <f t="shared" si="18"/>
        <v>0.13500000000000001</v>
      </c>
      <c r="AZ39" s="54">
        <f t="shared" si="19"/>
        <v>0.18</v>
      </c>
      <c r="BA39" s="207">
        <f t="shared" si="42"/>
        <v>4200</v>
      </c>
      <c r="BB39" s="52">
        <f t="shared" si="43"/>
        <v>8496.4013869624741</v>
      </c>
      <c r="BC39" s="48">
        <f t="shared" si="44"/>
        <v>630</v>
      </c>
      <c r="BD39" s="48">
        <f t="shared" si="45"/>
        <v>339.85605547849894</v>
      </c>
      <c r="BE39" s="53">
        <f t="shared" si="46"/>
        <v>9466.2574424409722</v>
      </c>
    </row>
    <row r="40" spans="2:57" ht="15.75" thickTop="1" thickBot="1">
      <c r="B40" s="58">
        <f t="shared" si="20"/>
        <v>13</v>
      </c>
      <c r="C40" s="52">
        <f t="shared" si="20"/>
        <v>34</v>
      </c>
      <c r="D40" s="185">
        <f t="shared" si="47"/>
        <v>1</v>
      </c>
      <c r="E40" s="48">
        <f t="shared" si="21"/>
        <v>700</v>
      </c>
      <c r="F40" s="205">
        <f t="shared" si="22"/>
        <v>6</v>
      </c>
      <c r="G40" s="192">
        <f t="shared" si="23"/>
        <v>4200</v>
      </c>
      <c r="I40" s="58">
        <f t="shared" si="24"/>
        <v>13</v>
      </c>
      <c r="J40" s="74">
        <f t="shared" si="25"/>
        <v>34</v>
      </c>
      <c r="K40" s="74">
        <f t="shared" si="3"/>
        <v>6</v>
      </c>
      <c r="L40" s="52">
        <f t="shared" si="26"/>
        <v>3000</v>
      </c>
      <c r="M40" s="74">
        <f t="shared" si="4"/>
        <v>1200</v>
      </c>
      <c r="N40" s="74">
        <f t="shared" si="27"/>
        <v>4200</v>
      </c>
      <c r="O40" s="180">
        <f t="shared" si="28"/>
        <v>700</v>
      </c>
      <c r="Q40" s="58">
        <f t="shared" si="5"/>
        <v>13</v>
      </c>
      <c r="R40" s="52">
        <f t="shared" si="6"/>
        <v>35</v>
      </c>
      <c r="S40" s="52">
        <f t="shared" si="7"/>
        <v>1</v>
      </c>
      <c r="T40" s="54">
        <f t="shared" si="48"/>
        <v>0.1</v>
      </c>
      <c r="U40" s="52">
        <f t="shared" si="8"/>
        <v>1200</v>
      </c>
      <c r="V40" s="52">
        <f t="shared" si="29"/>
        <v>1803.0966557030424</v>
      </c>
      <c r="W40" s="52">
        <f t="shared" si="30"/>
        <v>120</v>
      </c>
      <c r="X40" s="87">
        <f t="shared" si="31"/>
        <v>72.123866228121699</v>
      </c>
      <c r="Y40" s="53">
        <f t="shared" si="32"/>
        <v>1995.2205219311641</v>
      </c>
      <c r="AA40" s="58">
        <f t="shared" si="9"/>
        <v>13</v>
      </c>
      <c r="AB40" s="52">
        <f t="shared" si="10"/>
        <v>35</v>
      </c>
      <c r="AC40" s="52">
        <f t="shared" si="11"/>
        <v>0</v>
      </c>
      <c r="AD40" s="54">
        <f t="shared" si="49"/>
        <v>0.15</v>
      </c>
      <c r="AE40" s="52">
        <f t="shared" si="12"/>
        <v>4200</v>
      </c>
      <c r="AF40" s="52">
        <f t="shared" si="33"/>
        <v>0</v>
      </c>
      <c r="AG40" s="52">
        <f t="shared" si="34"/>
        <v>0</v>
      </c>
      <c r="AH40" s="52">
        <f t="shared" si="13"/>
        <v>0</v>
      </c>
      <c r="AI40" s="53">
        <f t="shared" si="35"/>
        <v>0</v>
      </c>
      <c r="AK40" s="58">
        <f t="shared" si="36"/>
        <v>13</v>
      </c>
      <c r="AL40" s="52">
        <f t="shared" si="36"/>
        <v>35</v>
      </c>
      <c r="AM40" s="52">
        <f t="shared" si="14"/>
        <v>1</v>
      </c>
      <c r="AN40" s="54">
        <f t="shared" si="15"/>
        <v>0.13500000000000001</v>
      </c>
      <c r="AO40" s="54">
        <f t="shared" si="16"/>
        <v>0.18</v>
      </c>
      <c r="AP40" s="207">
        <f t="shared" si="37"/>
        <v>4200</v>
      </c>
      <c r="AQ40" s="52">
        <f t="shared" si="38"/>
        <v>9466.2574424409722</v>
      </c>
      <c r="AR40" s="52">
        <f t="shared" si="39"/>
        <v>630</v>
      </c>
      <c r="AS40" s="48">
        <f t="shared" si="40"/>
        <v>378.6502976976389</v>
      </c>
      <c r="AT40" s="53">
        <f t="shared" si="41"/>
        <v>10474.907740138611</v>
      </c>
      <c r="AV40" s="58">
        <f t="shared" si="17"/>
        <v>13</v>
      </c>
      <c r="AW40" s="52">
        <f t="shared" si="17"/>
        <v>35</v>
      </c>
      <c r="AX40" s="48">
        <v>1</v>
      </c>
      <c r="AY40" s="54">
        <f t="shared" si="18"/>
        <v>0.13500000000000001</v>
      </c>
      <c r="AZ40" s="54">
        <f t="shared" si="19"/>
        <v>0.18</v>
      </c>
      <c r="BA40" s="207">
        <f t="shared" si="42"/>
        <v>4200</v>
      </c>
      <c r="BB40" s="52">
        <f t="shared" si="43"/>
        <v>9466.2574424409722</v>
      </c>
      <c r="BC40" s="48">
        <f t="shared" si="44"/>
        <v>630</v>
      </c>
      <c r="BD40" s="48">
        <f t="shared" si="45"/>
        <v>378.6502976976389</v>
      </c>
      <c r="BE40" s="53">
        <f t="shared" si="46"/>
        <v>10474.907740138611</v>
      </c>
    </row>
    <row r="41" spans="2:57" ht="15.75" thickTop="1" thickBot="1">
      <c r="B41" s="58">
        <f t="shared" si="20"/>
        <v>14</v>
      </c>
      <c r="C41" s="52">
        <f t="shared" si="20"/>
        <v>35</v>
      </c>
      <c r="D41" s="185">
        <f t="shared" si="47"/>
        <v>1</v>
      </c>
      <c r="E41" s="48">
        <f t="shared" si="21"/>
        <v>700</v>
      </c>
      <c r="F41" s="205">
        <f t="shared" si="22"/>
        <v>6</v>
      </c>
      <c r="G41" s="192">
        <f t="shared" si="23"/>
        <v>4200</v>
      </c>
      <c r="I41" s="58">
        <f t="shared" si="24"/>
        <v>14</v>
      </c>
      <c r="J41" s="74">
        <f t="shared" si="25"/>
        <v>35</v>
      </c>
      <c r="K41" s="74">
        <f t="shared" si="3"/>
        <v>6</v>
      </c>
      <c r="L41" s="52">
        <f t="shared" si="26"/>
        <v>3000</v>
      </c>
      <c r="M41" s="74">
        <f t="shared" si="4"/>
        <v>1200</v>
      </c>
      <c r="N41" s="74">
        <f t="shared" si="27"/>
        <v>4200</v>
      </c>
      <c r="O41" s="180">
        <f t="shared" si="28"/>
        <v>700</v>
      </c>
      <c r="Q41" s="58">
        <f t="shared" si="5"/>
        <v>14</v>
      </c>
      <c r="R41" s="52">
        <f t="shared" si="6"/>
        <v>36</v>
      </c>
      <c r="S41" s="52">
        <f t="shared" si="7"/>
        <v>1</v>
      </c>
      <c r="T41" s="54">
        <f t="shared" si="48"/>
        <v>0.1</v>
      </c>
      <c r="U41" s="52">
        <f t="shared" si="8"/>
        <v>1200</v>
      </c>
      <c r="V41" s="52">
        <f t="shared" si="29"/>
        <v>1995.2205219311641</v>
      </c>
      <c r="W41" s="52">
        <f t="shared" si="30"/>
        <v>120</v>
      </c>
      <c r="X41" s="87">
        <f t="shared" si="31"/>
        <v>79.808820877246561</v>
      </c>
      <c r="Y41" s="53">
        <f t="shared" si="32"/>
        <v>2195.0293428084105</v>
      </c>
      <c r="AA41" s="58">
        <f t="shared" si="9"/>
        <v>14</v>
      </c>
      <c r="AB41" s="52">
        <f t="shared" si="10"/>
        <v>36</v>
      </c>
      <c r="AC41" s="52">
        <f t="shared" si="11"/>
        <v>0</v>
      </c>
      <c r="AD41" s="54">
        <f t="shared" si="49"/>
        <v>0.15</v>
      </c>
      <c r="AE41" s="52">
        <f t="shared" si="12"/>
        <v>4200</v>
      </c>
      <c r="AF41" s="52">
        <f t="shared" si="33"/>
        <v>0</v>
      </c>
      <c r="AG41" s="52">
        <f t="shared" si="34"/>
        <v>0</v>
      </c>
      <c r="AH41" s="52">
        <f t="shared" si="13"/>
        <v>0</v>
      </c>
      <c r="AI41" s="53">
        <f t="shared" si="35"/>
        <v>0</v>
      </c>
      <c r="AK41" s="58">
        <f t="shared" si="36"/>
        <v>14</v>
      </c>
      <c r="AL41" s="52">
        <f t="shared" si="36"/>
        <v>36</v>
      </c>
      <c r="AM41" s="52">
        <f t="shared" si="14"/>
        <v>1</v>
      </c>
      <c r="AN41" s="54">
        <f t="shared" si="15"/>
        <v>0.13500000000000001</v>
      </c>
      <c r="AO41" s="54">
        <f t="shared" si="16"/>
        <v>0.18</v>
      </c>
      <c r="AP41" s="207">
        <f t="shared" si="37"/>
        <v>4200</v>
      </c>
      <c r="AQ41" s="52">
        <f t="shared" si="38"/>
        <v>10474.907740138611</v>
      </c>
      <c r="AR41" s="52">
        <f t="shared" si="39"/>
        <v>630</v>
      </c>
      <c r="AS41" s="48">
        <f t="shared" si="40"/>
        <v>418.99630960554447</v>
      </c>
      <c r="AT41" s="53">
        <f t="shared" si="41"/>
        <v>11523.904049744157</v>
      </c>
      <c r="AV41" s="58">
        <f t="shared" si="17"/>
        <v>14</v>
      </c>
      <c r="AW41" s="52">
        <f t="shared" si="17"/>
        <v>36</v>
      </c>
      <c r="AX41" s="48">
        <v>1</v>
      </c>
      <c r="AY41" s="54">
        <f t="shared" si="18"/>
        <v>0.13500000000000001</v>
      </c>
      <c r="AZ41" s="54">
        <f t="shared" si="19"/>
        <v>0.18</v>
      </c>
      <c r="BA41" s="207">
        <f t="shared" si="42"/>
        <v>4200</v>
      </c>
      <c r="BB41" s="52">
        <f t="shared" si="43"/>
        <v>10474.907740138611</v>
      </c>
      <c r="BC41" s="48">
        <f t="shared" si="44"/>
        <v>630</v>
      </c>
      <c r="BD41" s="48">
        <f t="shared" si="45"/>
        <v>418.99630960554447</v>
      </c>
      <c r="BE41" s="53">
        <f t="shared" si="46"/>
        <v>11523.904049744157</v>
      </c>
    </row>
    <row r="42" spans="2:57" ht="15.75" thickTop="1" thickBot="1">
      <c r="B42" s="58">
        <f t="shared" si="20"/>
        <v>15</v>
      </c>
      <c r="C42" s="52">
        <f t="shared" si="20"/>
        <v>36</v>
      </c>
      <c r="D42" s="185">
        <f t="shared" si="47"/>
        <v>1</v>
      </c>
      <c r="E42" s="48">
        <f t="shared" si="21"/>
        <v>700</v>
      </c>
      <c r="F42" s="205">
        <f t="shared" si="22"/>
        <v>6</v>
      </c>
      <c r="G42" s="192">
        <f t="shared" si="23"/>
        <v>4200</v>
      </c>
      <c r="I42" s="58">
        <f t="shared" si="24"/>
        <v>15</v>
      </c>
      <c r="J42" s="74">
        <f t="shared" si="25"/>
        <v>36</v>
      </c>
      <c r="K42" s="74">
        <f t="shared" si="3"/>
        <v>6</v>
      </c>
      <c r="L42" s="52">
        <f t="shared" si="26"/>
        <v>3000</v>
      </c>
      <c r="M42" s="74">
        <f t="shared" si="4"/>
        <v>1200</v>
      </c>
      <c r="N42" s="74">
        <f t="shared" si="27"/>
        <v>4200</v>
      </c>
      <c r="O42" s="180">
        <f t="shared" si="28"/>
        <v>700</v>
      </c>
      <c r="Q42" s="58">
        <f t="shared" si="5"/>
        <v>15</v>
      </c>
      <c r="R42" s="52">
        <f t="shared" si="6"/>
        <v>37</v>
      </c>
      <c r="S42" s="52">
        <f t="shared" si="7"/>
        <v>1</v>
      </c>
      <c r="T42" s="54">
        <f t="shared" si="48"/>
        <v>0.1</v>
      </c>
      <c r="U42" s="52">
        <f t="shared" si="8"/>
        <v>1200</v>
      </c>
      <c r="V42" s="52">
        <f t="shared" si="29"/>
        <v>2195.0293428084105</v>
      </c>
      <c r="W42" s="52">
        <f t="shared" si="30"/>
        <v>120</v>
      </c>
      <c r="X42" s="87">
        <f t="shared" si="31"/>
        <v>87.801173712336421</v>
      </c>
      <c r="Y42" s="53">
        <f t="shared" si="32"/>
        <v>2402.8305165207471</v>
      </c>
      <c r="AA42" s="58">
        <f t="shared" si="9"/>
        <v>15</v>
      </c>
      <c r="AB42" s="52">
        <f t="shared" si="10"/>
        <v>37</v>
      </c>
      <c r="AC42" s="52">
        <f t="shared" si="11"/>
        <v>0</v>
      </c>
      <c r="AD42" s="54">
        <f t="shared" si="49"/>
        <v>0.15</v>
      </c>
      <c r="AE42" s="52">
        <f t="shared" si="12"/>
        <v>4200</v>
      </c>
      <c r="AF42" s="52">
        <f t="shared" si="33"/>
        <v>0</v>
      </c>
      <c r="AG42" s="52">
        <f t="shared" si="34"/>
        <v>0</v>
      </c>
      <c r="AH42" s="52">
        <f t="shared" si="13"/>
        <v>0</v>
      </c>
      <c r="AI42" s="53">
        <f t="shared" si="35"/>
        <v>0</v>
      </c>
      <c r="AK42" s="58">
        <f t="shared" si="36"/>
        <v>15</v>
      </c>
      <c r="AL42" s="52">
        <f t="shared" si="36"/>
        <v>37</v>
      </c>
      <c r="AM42" s="52">
        <f t="shared" si="14"/>
        <v>1</v>
      </c>
      <c r="AN42" s="54">
        <f t="shared" si="15"/>
        <v>0.13500000000000001</v>
      </c>
      <c r="AO42" s="54">
        <f t="shared" si="16"/>
        <v>0.18</v>
      </c>
      <c r="AP42" s="207">
        <f t="shared" si="37"/>
        <v>4200</v>
      </c>
      <c r="AQ42" s="52">
        <f t="shared" si="38"/>
        <v>11523.904049744157</v>
      </c>
      <c r="AR42" s="52">
        <f t="shared" si="39"/>
        <v>630</v>
      </c>
      <c r="AS42" s="48">
        <f t="shared" si="40"/>
        <v>460.95616198976626</v>
      </c>
      <c r="AT42" s="53">
        <f t="shared" si="41"/>
        <v>12614.860211733923</v>
      </c>
      <c r="AV42" s="58">
        <f t="shared" si="17"/>
        <v>15</v>
      </c>
      <c r="AW42" s="52">
        <f t="shared" si="17"/>
        <v>37</v>
      </c>
      <c r="AX42" s="48">
        <v>1</v>
      </c>
      <c r="AY42" s="54">
        <f t="shared" si="18"/>
        <v>0.13500000000000001</v>
      </c>
      <c r="AZ42" s="54">
        <f t="shared" si="19"/>
        <v>0.18</v>
      </c>
      <c r="BA42" s="207">
        <f t="shared" si="42"/>
        <v>4200</v>
      </c>
      <c r="BB42" s="52">
        <f t="shared" si="43"/>
        <v>11523.904049744157</v>
      </c>
      <c r="BC42" s="48">
        <f t="shared" si="44"/>
        <v>630</v>
      </c>
      <c r="BD42" s="48">
        <f t="shared" si="45"/>
        <v>460.95616198976626</v>
      </c>
      <c r="BE42" s="53">
        <f t="shared" si="46"/>
        <v>12614.860211733923</v>
      </c>
    </row>
    <row r="43" spans="2:57" ht="15.75" thickTop="1" thickBot="1">
      <c r="B43" s="58">
        <f t="shared" si="20"/>
        <v>16</v>
      </c>
      <c r="C43" s="52">
        <f t="shared" si="20"/>
        <v>37</v>
      </c>
      <c r="D43" s="185">
        <f t="shared" si="47"/>
        <v>1</v>
      </c>
      <c r="E43" s="48">
        <f t="shared" si="21"/>
        <v>700</v>
      </c>
      <c r="F43" s="205">
        <f t="shared" si="22"/>
        <v>6</v>
      </c>
      <c r="G43" s="192">
        <f t="shared" si="23"/>
        <v>4200</v>
      </c>
      <c r="I43" s="58">
        <f t="shared" si="24"/>
        <v>16</v>
      </c>
      <c r="J43" s="74">
        <f t="shared" si="25"/>
        <v>37</v>
      </c>
      <c r="K43" s="74">
        <f t="shared" si="3"/>
        <v>6</v>
      </c>
      <c r="L43" s="52">
        <f t="shared" si="26"/>
        <v>3000</v>
      </c>
      <c r="M43" s="74">
        <f t="shared" si="4"/>
        <v>1200</v>
      </c>
      <c r="N43" s="74">
        <f t="shared" si="27"/>
        <v>4200</v>
      </c>
      <c r="O43" s="180">
        <f t="shared" si="28"/>
        <v>700</v>
      </c>
      <c r="Q43" s="58">
        <f t="shared" si="5"/>
        <v>16</v>
      </c>
      <c r="R43" s="52">
        <f t="shared" si="6"/>
        <v>38</v>
      </c>
      <c r="S43" s="52">
        <f t="shared" si="7"/>
        <v>1</v>
      </c>
      <c r="T43" s="54">
        <f t="shared" si="48"/>
        <v>0.1</v>
      </c>
      <c r="U43" s="52">
        <f t="shared" si="8"/>
        <v>1200</v>
      </c>
      <c r="V43" s="52">
        <f t="shared" si="29"/>
        <v>2402.8305165207471</v>
      </c>
      <c r="W43" s="52">
        <f t="shared" si="30"/>
        <v>120</v>
      </c>
      <c r="X43" s="87">
        <f t="shared" si="31"/>
        <v>96.113220660829882</v>
      </c>
      <c r="Y43" s="53">
        <f t="shared" si="32"/>
        <v>2618.943737181577</v>
      </c>
      <c r="AA43" s="58">
        <f t="shared" si="9"/>
        <v>16</v>
      </c>
      <c r="AB43" s="52">
        <f t="shared" si="10"/>
        <v>38</v>
      </c>
      <c r="AC43" s="52">
        <f t="shared" si="11"/>
        <v>0</v>
      </c>
      <c r="AD43" s="54">
        <f t="shared" si="49"/>
        <v>0.15</v>
      </c>
      <c r="AE43" s="52">
        <f t="shared" si="12"/>
        <v>4200</v>
      </c>
      <c r="AF43" s="52">
        <f t="shared" si="33"/>
        <v>0</v>
      </c>
      <c r="AG43" s="52">
        <f t="shared" si="34"/>
        <v>0</v>
      </c>
      <c r="AH43" s="52">
        <f t="shared" si="13"/>
        <v>0</v>
      </c>
      <c r="AI43" s="53">
        <f t="shared" si="35"/>
        <v>0</v>
      </c>
      <c r="AK43" s="58">
        <f t="shared" si="36"/>
        <v>16</v>
      </c>
      <c r="AL43" s="52">
        <f t="shared" si="36"/>
        <v>38</v>
      </c>
      <c r="AM43" s="52">
        <f t="shared" si="14"/>
        <v>1</v>
      </c>
      <c r="AN43" s="54">
        <f t="shared" si="15"/>
        <v>0.13500000000000001</v>
      </c>
      <c r="AO43" s="54">
        <f t="shared" si="16"/>
        <v>0.18</v>
      </c>
      <c r="AP43" s="207">
        <f t="shared" si="37"/>
        <v>4200</v>
      </c>
      <c r="AQ43" s="52">
        <f t="shared" si="38"/>
        <v>12614.860211733923</v>
      </c>
      <c r="AR43" s="52">
        <f t="shared" si="39"/>
        <v>630</v>
      </c>
      <c r="AS43" s="48">
        <f t="shared" si="40"/>
        <v>504.59440846935695</v>
      </c>
      <c r="AT43" s="53">
        <f t="shared" si="41"/>
        <v>13749.45462020328</v>
      </c>
      <c r="AV43" s="58">
        <f t="shared" si="17"/>
        <v>16</v>
      </c>
      <c r="AW43" s="52">
        <f t="shared" si="17"/>
        <v>38</v>
      </c>
      <c r="AX43" s="48">
        <v>1</v>
      </c>
      <c r="AY43" s="54">
        <f t="shared" si="18"/>
        <v>0.13500000000000001</v>
      </c>
      <c r="AZ43" s="54">
        <f t="shared" si="19"/>
        <v>0.18</v>
      </c>
      <c r="BA43" s="207">
        <f t="shared" si="42"/>
        <v>4200</v>
      </c>
      <c r="BB43" s="52">
        <f t="shared" si="43"/>
        <v>12614.860211733923</v>
      </c>
      <c r="BC43" s="48">
        <f t="shared" si="44"/>
        <v>630</v>
      </c>
      <c r="BD43" s="48">
        <f t="shared" si="45"/>
        <v>504.59440846935695</v>
      </c>
      <c r="BE43" s="53">
        <f t="shared" si="46"/>
        <v>13749.45462020328</v>
      </c>
    </row>
    <row r="44" spans="2:57" ht="15.75" thickTop="1" thickBot="1">
      <c r="B44" s="58">
        <f t="shared" si="20"/>
        <v>17</v>
      </c>
      <c r="C44" s="52">
        <f t="shared" si="20"/>
        <v>38</v>
      </c>
      <c r="D44" s="185">
        <f t="shared" si="47"/>
        <v>1</v>
      </c>
      <c r="E44" s="48">
        <f t="shared" si="21"/>
        <v>700</v>
      </c>
      <c r="F44" s="205">
        <f t="shared" si="22"/>
        <v>6</v>
      </c>
      <c r="G44" s="192">
        <f t="shared" si="23"/>
        <v>4200</v>
      </c>
      <c r="I44" s="58">
        <f t="shared" si="24"/>
        <v>17</v>
      </c>
      <c r="J44" s="74">
        <f t="shared" si="25"/>
        <v>38</v>
      </c>
      <c r="K44" s="74">
        <f t="shared" si="3"/>
        <v>6</v>
      </c>
      <c r="L44" s="52">
        <f t="shared" si="26"/>
        <v>3000</v>
      </c>
      <c r="M44" s="74">
        <f t="shared" si="4"/>
        <v>1200</v>
      </c>
      <c r="N44" s="74">
        <f t="shared" si="27"/>
        <v>4200</v>
      </c>
      <c r="O44" s="180">
        <f t="shared" si="28"/>
        <v>700</v>
      </c>
      <c r="Q44" s="58">
        <f t="shared" si="5"/>
        <v>17</v>
      </c>
      <c r="R44" s="52">
        <f t="shared" si="6"/>
        <v>39</v>
      </c>
      <c r="S44" s="52">
        <f t="shared" si="7"/>
        <v>1</v>
      </c>
      <c r="T44" s="54">
        <f t="shared" si="48"/>
        <v>0.1</v>
      </c>
      <c r="U44" s="52">
        <f t="shared" si="8"/>
        <v>1200</v>
      </c>
      <c r="V44" s="52">
        <f t="shared" si="29"/>
        <v>2618.943737181577</v>
      </c>
      <c r="W44" s="52">
        <f t="shared" si="30"/>
        <v>120</v>
      </c>
      <c r="X44" s="87">
        <f t="shared" si="31"/>
        <v>104.75774948726308</v>
      </c>
      <c r="Y44" s="53">
        <f t="shared" si="32"/>
        <v>2843.7014866688401</v>
      </c>
      <c r="AA44" s="58">
        <f t="shared" si="9"/>
        <v>17</v>
      </c>
      <c r="AB44" s="52">
        <f t="shared" si="10"/>
        <v>39</v>
      </c>
      <c r="AC44" s="52">
        <f t="shared" si="11"/>
        <v>0</v>
      </c>
      <c r="AD44" s="54">
        <f t="shared" si="49"/>
        <v>0.15</v>
      </c>
      <c r="AE44" s="52">
        <f t="shared" si="12"/>
        <v>4200</v>
      </c>
      <c r="AF44" s="52">
        <f t="shared" si="33"/>
        <v>0</v>
      </c>
      <c r="AG44" s="52">
        <f t="shared" si="34"/>
        <v>0</v>
      </c>
      <c r="AH44" s="52">
        <f t="shared" si="13"/>
        <v>0</v>
      </c>
      <c r="AI44" s="53">
        <f t="shared" si="35"/>
        <v>0</v>
      </c>
      <c r="AK44" s="58">
        <f t="shared" si="36"/>
        <v>17</v>
      </c>
      <c r="AL44" s="52">
        <f t="shared" si="36"/>
        <v>39</v>
      </c>
      <c r="AM44" s="52">
        <f t="shared" si="14"/>
        <v>1</v>
      </c>
      <c r="AN44" s="54">
        <f t="shared" si="15"/>
        <v>0.13500000000000001</v>
      </c>
      <c r="AO44" s="54">
        <f t="shared" si="16"/>
        <v>0.18</v>
      </c>
      <c r="AP44" s="207">
        <f t="shared" si="37"/>
        <v>4200</v>
      </c>
      <c r="AQ44" s="52">
        <f t="shared" si="38"/>
        <v>13749.45462020328</v>
      </c>
      <c r="AR44" s="52">
        <f t="shared" si="39"/>
        <v>630</v>
      </c>
      <c r="AS44" s="48">
        <f t="shared" si="40"/>
        <v>549.97818480813123</v>
      </c>
      <c r="AT44" s="53">
        <f t="shared" si="41"/>
        <v>14929.432805011411</v>
      </c>
      <c r="AV44" s="58">
        <f t="shared" si="17"/>
        <v>17</v>
      </c>
      <c r="AW44" s="52">
        <f t="shared" si="17"/>
        <v>39</v>
      </c>
      <c r="AX44" s="48">
        <v>1</v>
      </c>
      <c r="AY44" s="54">
        <f t="shared" si="18"/>
        <v>0.13500000000000001</v>
      </c>
      <c r="AZ44" s="54">
        <f t="shared" si="19"/>
        <v>0.18</v>
      </c>
      <c r="BA44" s="207">
        <f t="shared" si="42"/>
        <v>4200</v>
      </c>
      <c r="BB44" s="52">
        <f t="shared" si="43"/>
        <v>13749.45462020328</v>
      </c>
      <c r="BC44" s="48">
        <f t="shared" si="44"/>
        <v>630</v>
      </c>
      <c r="BD44" s="48">
        <f t="shared" si="45"/>
        <v>549.97818480813123</v>
      </c>
      <c r="BE44" s="53">
        <f t="shared" si="46"/>
        <v>14929.432805011411</v>
      </c>
    </row>
    <row r="45" spans="2:57" ht="15.75" thickTop="1" thickBot="1">
      <c r="B45" s="124">
        <f t="shared" ref="B45:C60" si="50">+B44+1</f>
        <v>18</v>
      </c>
      <c r="C45" s="125">
        <f t="shared" si="50"/>
        <v>39</v>
      </c>
      <c r="D45" s="185">
        <f t="shared" si="47"/>
        <v>1</v>
      </c>
      <c r="E45" s="48">
        <f t="shared" si="21"/>
        <v>700</v>
      </c>
      <c r="F45" s="205">
        <f t="shared" si="22"/>
        <v>6</v>
      </c>
      <c r="G45" s="192">
        <f t="shared" si="23"/>
        <v>4200</v>
      </c>
      <c r="I45" s="124">
        <f t="shared" si="24"/>
        <v>18</v>
      </c>
      <c r="J45" s="129">
        <f t="shared" si="25"/>
        <v>39</v>
      </c>
      <c r="K45" s="129">
        <f t="shared" si="3"/>
        <v>6</v>
      </c>
      <c r="L45" s="125">
        <f t="shared" si="26"/>
        <v>3000</v>
      </c>
      <c r="M45" s="129">
        <f t="shared" si="4"/>
        <v>1200</v>
      </c>
      <c r="N45" s="74">
        <f t="shared" si="27"/>
        <v>4200</v>
      </c>
      <c r="O45" s="180">
        <f t="shared" si="28"/>
        <v>700</v>
      </c>
      <c r="Q45" s="124">
        <f t="shared" si="5"/>
        <v>18</v>
      </c>
      <c r="R45" s="125">
        <f t="shared" si="6"/>
        <v>40</v>
      </c>
      <c r="S45" s="125">
        <f t="shared" si="7"/>
        <v>1</v>
      </c>
      <c r="T45" s="126">
        <f t="shared" si="48"/>
        <v>0.1</v>
      </c>
      <c r="U45" s="125">
        <f t="shared" si="8"/>
        <v>1200</v>
      </c>
      <c r="V45" s="125">
        <f t="shared" si="29"/>
        <v>2843.7014866688401</v>
      </c>
      <c r="W45" s="125">
        <f t="shared" si="30"/>
        <v>120</v>
      </c>
      <c r="X45" s="87">
        <f t="shared" si="31"/>
        <v>113.7480594667536</v>
      </c>
      <c r="Y45" s="128">
        <f t="shared" si="32"/>
        <v>3077.4495461355937</v>
      </c>
      <c r="AA45" s="124">
        <f t="shared" si="9"/>
        <v>18</v>
      </c>
      <c r="AB45" s="125">
        <f t="shared" si="10"/>
        <v>40</v>
      </c>
      <c r="AC45" s="125">
        <f t="shared" si="11"/>
        <v>0</v>
      </c>
      <c r="AD45" s="126">
        <f t="shared" si="49"/>
        <v>0.15</v>
      </c>
      <c r="AE45" s="125">
        <f t="shared" si="12"/>
        <v>4200</v>
      </c>
      <c r="AF45" s="125">
        <f t="shared" si="33"/>
        <v>0</v>
      </c>
      <c r="AG45" s="125">
        <f t="shared" si="34"/>
        <v>0</v>
      </c>
      <c r="AH45" s="125">
        <f t="shared" si="13"/>
        <v>0</v>
      </c>
      <c r="AI45" s="128">
        <f t="shared" si="35"/>
        <v>0</v>
      </c>
      <c r="AK45" s="124">
        <f t="shared" si="36"/>
        <v>18</v>
      </c>
      <c r="AL45" s="125">
        <f t="shared" si="36"/>
        <v>40</v>
      </c>
      <c r="AM45" s="125">
        <f t="shared" si="14"/>
        <v>1</v>
      </c>
      <c r="AN45" s="126">
        <f t="shared" si="15"/>
        <v>0.13500000000000001</v>
      </c>
      <c r="AO45" s="126">
        <f t="shared" si="16"/>
        <v>0.18</v>
      </c>
      <c r="AP45" s="207">
        <f t="shared" si="37"/>
        <v>4200</v>
      </c>
      <c r="AQ45" s="125">
        <f t="shared" si="38"/>
        <v>14929.432805011411</v>
      </c>
      <c r="AR45" s="52">
        <f t="shared" si="39"/>
        <v>630</v>
      </c>
      <c r="AS45" s="48">
        <f t="shared" si="40"/>
        <v>597.17731220045641</v>
      </c>
      <c r="AT45" s="128">
        <f t="shared" si="41"/>
        <v>16156.610117211867</v>
      </c>
      <c r="AV45" s="124">
        <f t="shared" si="17"/>
        <v>18</v>
      </c>
      <c r="AW45" s="125">
        <f t="shared" si="17"/>
        <v>40</v>
      </c>
      <c r="AX45" s="48">
        <v>1</v>
      </c>
      <c r="AY45" s="126">
        <f t="shared" si="18"/>
        <v>0.13500000000000001</v>
      </c>
      <c r="AZ45" s="126">
        <f t="shared" si="19"/>
        <v>0.18</v>
      </c>
      <c r="BA45" s="207">
        <f t="shared" si="42"/>
        <v>4200</v>
      </c>
      <c r="BB45" s="125">
        <f t="shared" si="43"/>
        <v>14929.432805011411</v>
      </c>
      <c r="BC45" s="48">
        <f t="shared" si="44"/>
        <v>630</v>
      </c>
      <c r="BD45" s="48">
        <f t="shared" si="45"/>
        <v>597.17731220045641</v>
      </c>
      <c r="BE45" s="128">
        <f t="shared" si="46"/>
        <v>16156.610117211867</v>
      </c>
    </row>
    <row r="46" spans="2:57" ht="15.75" thickTop="1" thickBot="1">
      <c r="B46" s="58">
        <f t="shared" si="50"/>
        <v>19</v>
      </c>
      <c r="C46" s="52">
        <f t="shared" si="50"/>
        <v>40</v>
      </c>
      <c r="D46" s="185">
        <f t="shared" si="47"/>
        <v>1</v>
      </c>
      <c r="E46" s="48">
        <f t="shared" si="21"/>
        <v>700</v>
      </c>
      <c r="F46" s="205">
        <f t="shared" si="22"/>
        <v>6</v>
      </c>
      <c r="G46" s="192">
        <f t="shared" si="23"/>
        <v>4200</v>
      </c>
      <c r="I46" s="58">
        <f t="shared" si="24"/>
        <v>19</v>
      </c>
      <c r="J46" s="74">
        <f t="shared" si="25"/>
        <v>40</v>
      </c>
      <c r="K46" s="74">
        <f t="shared" si="3"/>
        <v>6</v>
      </c>
      <c r="L46" s="52">
        <f t="shared" si="26"/>
        <v>3000</v>
      </c>
      <c r="M46" s="74">
        <f t="shared" si="4"/>
        <v>1200</v>
      </c>
      <c r="N46" s="74">
        <f t="shared" si="27"/>
        <v>4200</v>
      </c>
      <c r="O46" s="180">
        <f t="shared" si="28"/>
        <v>700</v>
      </c>
      <c r="Q46" s="58">
        <f t="shared" si="5"/>
        <v>19</v>
      </c>
      <c r="R46" s="52">
        <f t="shared" si="6"/>
        <v>41</v>
      </c>
      <c r="S46" s="52">
        <f t="shared" si="7"/>
        <v>1</v>
      </c>
      <c r="T46" s="54">
        <f t="shared" si="48"/>
        <v>0.1</v>
      </c>
      <c r="U46" s="52">
        <f t="shared" si="8"/>
        <v>1200</v>
      </c>
      <c r="V46" s="52">
        <f t="shared" si="29"/>
        <v>3077.4495461355937</v>
      </c>
      <c r="W46" s="52">
        <f t="shared" si="30"/>
        <v>120</v>
      </c>
      <c r="X46" s="87">
        <f t="shared" si="31"/>
        <v>123.09798184542375</v>
      </c>
      <c r="Y46" s="53">
        <f t="shared" si="32"/>
        <v>3320.5475279810175</v>
      </c>
      <c r="AA46" s="58">
        <f t="shared" si="9"/>
        <v>19</v>
      </c>
      <c r="AB46" s="52">
        <f t="shared" si="10"/>
        <v>41</v>
      </c>
      <c r="AC46" s="52">
        <f t="shared" si="11"/>
        <v>0</v>
      </c>
      <c r="AD46" s="54">
        <f t="shared" si="49"/>
        <v>0.15</v>
      </c>
      <c r="AE46" s="52">
        <f t="shared" si="12"/>
        <v>4200</v>
      </c>
      <c r="AF46" s="52">
        <f t="shared" si="33"/>
        <v>0</v>
      </c>
      <c r="AG46" s="52">
        <f t="shared" si="34"/>
        <v>0</v>
      </c>
      <c r="AH46" s="52">
        <f t="shared" si="13"/>
        <v>0</v>
      </c>
      <c r="AI46" s="53">
        <f t="shared" si="35"/>
        <v>0</v>
      </c>
      <c r="AK46" s="58">
        <f t="shared" si="36"/>
        <v>19</v>
      </c>
      <c r="AL46" s="52">
        <f t="shared" si="36"/>
        <v>41</v>
      </c>
      <c r="AM46" s="52">
        <f t="shared" si="14"/>
        <v>1</v>
      </c>
      <c r="AN46" s="54">
        <f t="shared" si="15"/>
        <v>0.13500000000000001</v>
      </c>
      <c r="AO46" s="54">
        <f t="shared" si="16"/>
        <v>0.18</v>
      </c>
      <c r="AP46" s="207">
        <f t="shared" si="37"/>
        <v>4200</v>
      </c>
      <c r="AQ46" s="52">
        <f t="shared" si="38"/>
        <v>16156.610117211867</v>
      </c>
      <c r="AR46" s="52">
        <f t="shared" si="39"/>
        <v>630</v>
      </c>
      <c r="AS46" s="48">
        <f t="shared" si="40"/>
        <v>646.26440468847466</v>
      </c>
      <c r="AT46" s="53">
        <f t="shared" si="41"/>
        <v>17432.874521900339</v>
      </c>
      <c r="AV46" s="58">
        <f t="shared" si="17"/>
        <v>19</v>
      </c>
      <c r="AW46" s="52">
        <f t="shared" si="17"/>
        <v>41</v>
      </c>
      <c r="AX46" s="48">
        <v>1</v>
      </c>
      <c r="AY46" s="54">
        <f t="shared" si="18"/>
        <v>0.13500000000000001</v>
      </c>
      <c r="AZ46" s="54">
        <f t="shared" si="19"/>
        <v>0.18</v>
      </c>
      <c r="BA46" s="207">
        <f t="shared" si="42"/>
        <v>4200</v>
      </c>
      <c r="BB46" s="52">
        <f t="shared" si="43"/>
        <v>16156.610117211867</v>
      </c>
      <c r="BC46" s="48">
        <f t="shared" si="44"/>
        <v>630</v>
      </c>
      <c r="BD46" s="48">
        <f t="shared" si="45"/>
        <v>646.26440468847466</v>
      </c>
      <c r="BE46" s="53">
        <f t="shared" si="46"/>
        <v>17432.874521900339</v>
      </c>
    </row>
    <row r="47" spans="2:57" ht="15.75" thickTop="1" thickBot="1">
      <c r="B47" s="58">
        <f t="shared" si="50"/>
        <v>20</v>
      </c>
      <c r="C47" s="52">
        <f t="shared" si="50"/>
        <v>41</v>
      </c>
      <c r="D47" s="185">
        <f t="shared" si="47"/>
        <v>1</v>
      </c>
      <c r="E47" s="48">
        <f t="shared" si="21"/>
        <v>700</v>
      </c>
      <c r="F47" s="205">
        <f t="shared" si="22"/>
        <v>6</v>
      </c>
      <c r="G47" s="192">
        <f t="shared" si="23"/>
        <v>4200</v>
      </c>
      <c r="I47" s="58">
        <f t="shared" si="24"/>
        <v>20</v>
      </c>
      <c r="J47" s="74">
        <f t="shared" si="25"/>
        <v>41</v>
      </c>
      <c r="K47" s="74">
        <f t="shared" si="3"/>
        <v>6</v>
      </c>
      <c r="L47" s="52">
        <f t="shared" si="26"/>
        <v>3000</v>
      </c>
      <c r="M47" s="74">
        <f t="shared" si="4"/>
        <v>1200</v>
      </c>
      <c r="N47" s="74">
        <f t="shared" si="27"/>
        <v>4200</v>
      </c>
      <c r="O47" s="180">
        <f t="shared" si="28"/>
        <v>700</v>
      </c>
      <c r="Q47" s="58">
        <f t="shared" si="5"/>
        <v>20</v>
      </c>
      <c r="R47" s="52">
        <f t="shared" si="6"/>
        <v>42</v>
      </c>
      <c r="S47" s="52">
        <f t="shared" si="7"/>
        <v>1</v>
      </c>
      <c r="T47" s="54">
        <f t="shared" si="48"/>
        <v>0.1</v>
      </c>
      <c r="U47" s="52">
        <f t="shared" si="8"/>
        <v>1200</v>
      </c>
      <c r="V47" s="52">
        <f t="shared" si="29"/>
        <v>3320.5475279810175</v>
      </c>
      <c r="W47" s="52">
        <f t="shared" si="30"/>
        <v>120</v>
      </c>
      <c r="X47" s="87">
        <f t="shared" si="31"/>
        <v>132.82190111924069</v>
      </c>
      <c r="Y47" s="53">
        <f t="shared" si="32"/>
        <v>3573.3694291002585</v>
      </c>
      <c r="AA47" s="58">
        <f t="shared" si="9"/>
        <v>20</v>
      </c>
      <c r="AB47" s="52">
        <f t="shared" si="10"/>
        <v>42</v>
      </c>
      <c r="AC47" s="52">
        <f t="shared" si="11"/>
        <v>0</v>
      </c>
      <c r="AD47" s="54">
        <f t="shared" si="49"/>
        <v>0.15</v>
      </c>
      <c r="AE47" s="52">
        <f t="shared" si="12"/>
        <v>4200</v>
      </c>
      <c r="AF47" s="52">
        <f t="shared" si="33"/>
        <v>0</v>
      </c>
      <c r="AG47" s="52">
        <f t="shared" si="34"/>
        <v>0</v>
      </c>
      <c r="AH47" s="52">
        <f t="shared" si="13"/>
        <v>0</v>
      </c>
      <c r="AI47" s="53">
        <f t="shared" si="35"/>
        <v>0</v>
      </c>
      <c r="AK47" s="58">
        <f t="shared" si="36"/>
        <v>20</v>
      </c>
      <c r="AL47" s="52">
        <f t="shared" si="36"/>
        <v>42</v>
      </c>
      <c r="AM47" s="52">
        <f t="shared" si="14"/>
        <v>1</v>
      </c>
      <c r="AN47" s="54">
        <f t="shared" si="15"/>
        <v>0.13500000000000001</v>
      </c>
      <c r="AO47" s="54">
        <f t="shared" si="16"/>
        <v>0.18</v>
      </c>
      <c r="AP47" s="207">
        <f t="shared" si="37"/>
        <v>4200</v>
      </c>
      <c r="AQ47" s="52">
        <f t="shared" si="38"/>
        <v>17432.874521900339</v>
      </c>
      <c r="AR47" s="52">
        <f t="shared" si="39"/>
        <v>630</v>
      </c>
      <c r="AS47" s="48">
        <f t="shared" si="40"/>
        <v>697.31498087601358</v>
      </c>
      <c r="AT47" s="53">
        <f t="shared" si="41"/>
        <v>18760.189502776353</v>
      </c>
      <c r="AV47" s="58">
        <f t="shared" si="17"/>
        <v>20</v>
      </c>
      <c r="AW47" s="52">
        <f t="shared" si="17"/>
        <v>42</v>
      </c>
      <c r="AX47" s="48">
        <v>1</v>
      </c>
      <c r="AY47" s="54">
        <f t="shared" si="18"/>
        <v>0.13500000000000001</v>
      </c>
      <c r="AZ47" s="54">
        <f t="shared" si="19"/>
        <v>0.18</v>
      </c>
      <c r="BA47" s="207">
        <f t="shared" si="42"/>
        <v>4200</v>
      </c>
      <c r="BB47" s="52">
        <f t="shared" si="43"/>
        <v>17432.874521900339</v>
      </c>
      <c r="BC47" s="48">
        <f t="shared" si="44"/>
        <v>630</v>
      </c>
      <c r="BD47" s="48">
        <f t="shared" si="45"/>
        <v>697.31498087601358</v>
      </c>
      <c r="BE47" s="53">
        <f t="shared" si="46"/>
        <v>18760.189502776353</v>
      </c>
    </row>
    <row r="48" spans="2:57" ht="15.75" thickTop="1" thickBot="1">
      <c r="B48" s="58">
        <f t="shared" si="50"/>
        <v>21</v>
      </c>
      <c r="C48" s="52">
        <f t="shared" si="50"/>
        <v>42</v>
      </c>
      <c r="D48" s="185">
        <f t="shared" si="47"/>
        <v>1</v>
      </c>
      <c r="E48" s="48">
        <f t="shared" si="21"/>
        <v>700</v>
      </c>
      <c r="F48" s="205">
        <f t="shared" si="22"/>
        <v>6</v>
      </c>
      <c r="G48" s="192">
        <f t="shared" si="23"/>
        <v>4200</v>
      </c>
      <c r="I48" s="58">
        <f t="shared" si="24"/>
        <v>21</v>
      </c>
      <c r="J48" s="74">
        <f t="shared" si="25"/>
        <v>42</v>
      </c>
      <c r="K48" s="74">
        <f t="shared" si="3"/>
        <v>6</v>
      </c>
      <c r="L48" s="52">
        <f t="shared" si="26"/>
        <v>3000</v>
      </c>
      <c r="M48" s="74">
        <f t="shared" si="4"/>
        <v>1200</v>
      </c>
      <c r="N48" s="74">
        <f t="shared" si="27"/>
        <v>4200</v>
      </c>
      <c r="O48" s="180">
        <f t="shared" si="28"/>
        <v>700</v>
      </c>
      <c r="Q48" s="58">
        <f t="shared" si="5"/>
        <v>21</v>
      </c>
      <c r="R48" s="52">
        <f t="shared" si="6"/>
        <v>43</v>
      </c>
      <c r="S48" s="52">
        <f t="shared" si="7"/>
        <v>1</v>
      </c>
      <c r="T48" s="54">
        <f t="shared" si="48"/>
        <v>0.1</v>
      </c>
      <c r="U48" s="52">
        <f t="shared" si="8"/>
        <v>1200</v>
      </c>
      <c r="V48" s="52">
        <f t="shared" si="29"/>
        <v>3573.3694291002585</v>
      </c>
      <c r="W48" s="52">
        <f t="shared" si="30"/>
        <v>120</v>
      </c>
      <c r="X48" s="87">
        <f t="shared" si="31"/>
        <v>142.93477716401034</v>
      </c>
      <c r="Y48" s="53">
        <f t="shared" si="32"/>
        <v>3836.3042062642689</v>
      </c>
      <c r="AA48" s="58">
        <f t="shared" si="9"/>
        <v>21</v>
      </c>
      <c r="AB48" s="52">
        <f t="shared" si="10"/>
        <v>43</v>
      </c>
      <c r="AC48" s="52">
        <f t="shared" si="11"/>
        <v>0</v>
      </c>
      <c r="AD48" s="54">
        <f t="shared" si="49"/>
        <v>0.15</v>
      </c>
      <c r="AE48" s="52">
        <f t="shared" si="12"/>
        <v>4200</v>
      </c>
      <c r="AF48" s="52">
        <f t="shared" si="33"/>
        <v>0</v>
      </c>
      <c r="AG48" s="52">
        <f t="shared" si="34"/>
        <v>0</v>
      </c>
      <c r="AH48" s="52">
        <f t="shared" si="13"/>
        <v>0</v>
      </c>
      <c r="AI48" s="53">
        <f t="shared" si="35"/>
        <v>0</v>
      </c>
      <c r="AK48" s="58">
        <f t="shared" si="36"/>
        <v>21</v>
      </c>
      <c r="AL48" s="52">
        <f t="shared" si="36"/>
        <v>43</v>
      </c>
      <c r="AM48" s="52">
        <f t="shared" si="14"/>
        <v>1</v>
      </c>
      <c r="AN48" s="54">
        <f t="shared" si="15"/>
        <v>0.13500000000000001</v>
      </c>
      <c r="AO48" s="54">
        <f t="shared" si="16"/>
        <v>0.18</v>
      </c>
      <c r="AP48" s="207">
        <f t="shared" si="37"/>
        <v>4200</v>
      </c>
      <c r="AQ48" s="52">
        <f t="shared" si="38"/>
        <v>18760.189502776353</v>
      </c>
      <c r="AR48" s="52">
        <f t="shared" si="39"/>
        <v>630</v>
      </c>
      <c r="AS48" s="48">
        <f t="shared" si="40"/>
        <v>750.40758011105413</v>
      </c>
      <c r="AT48" s="53">
        <f t="shared" si="41"/>
        <v>20140.597082887409</v>
      </c>
      <c r="AV48" s="58">
        <f t="shared" si="17"/>
        <v>21</v>
      </c>
      <c r="AW48" s="52">
        <f t="shared" si="17"/>
        <v>43</v>
      </c>
      <c r="AX48" s="48">
        <v>1</v>
      </c>
      <c r="AY48" s="54">
        <f t="shared" si="18"/>
        <v>0.13500000000000001</v>
      </c>
      <c r="AZ48" s="54">
        <f t="shared" si="19"/>
        <v>0.18</v>
      </c>
      <c r="BA48" s="207">
        <f t="shared" si="42"/>
        <v>4200</v>
      </c>
      <c r="BB48" s="52">
        <f t="shared" si="43"/>
        <v>18760.189502776353</v>
      </c>
      <c r="BC48" s="48">
        <f t="shared" si="44"/>
        <v>630</v>
      </c>
      <c r="BD48" s="48">
        <f t="shared" si="45"/>
        <v>750.40758011105413</v>
      </c>
      <c r="BE48" s="53">
        <f t="shared" si="46"/>
        <v>20140.597082887409</v>
      </c>
    </row>
    <row r="49" spans="2:57" ht="15.75" thickTop="1" thickBot="1">
      <c r="B49" s="58">
        <f t="shared" si="50"/>
        <v>22</v>
      </c>
      <c r="C49" s="52">
        <f t="shared" si="50"/>
        <v>43</v>
      </c>
      <c r="D49" s="185">
        <f t="shared" si="47"/>
        <v>1</v>
      </c>
      <c r="E49" s="48">
        <f t="shared" si="21"/>
        <v>700</v>
      </c>
      <c r="F49" s="205">
        <f t="shared" si="22"/>
        <v>6</v>
      </c>
      <c r="G49" s="192">
        <f t="shared" si="23"/>
        <v>4200</v>
      </c>
      <c r="I49" s="58">
        <f t="shared" si="24"/>
        <v>22</v>
      </c>
      <c r="J49" s="74">
        <f t="shared" si="25"/>
        <v>43</v>
      </c>
      <c r="K49" s="74">
        <f t="shared" si="3"/>
        <v>6</v>
      </c>
      <c r="L49" s="52">
        <f t="shared" si="26"/>
        <v>3000</v>
      </c>
      <c r="M49" s="74">
        <f t="shared" si="4"/>
        <v>1200</v>
      </c>
      <c r="N49" s="74">
        <f t="shared" si="27"/>
        <v>4200</v>
      </c>
      <c r="O49" s="180">
        <f t="shared" si="28"/>
        <v>700</v>
      </c>
      <c r="Q49" s="58">
        <f t="shared" si="5"/>
        <v>22</v>
      </c>
      <c r="R49" s="52">
        <f t="shared" si="6"/>
        <v>44</v>
      </c>
      <c r="S49" s="52">
        <f t="shared" si="7"/>
        <v>1</v>
      </c>
      <c r="T49" s="54">
        <f t="shared" si="48"/>
        <v>0.1</v>
      </c>
      <c r="U49" s="52">
        <f t="shared" si="8"/>
        <v>1200</v>
      </c>
      <c r="V49" s="52">
        <f t="shared" si="29"/>
        <v>3836.3042062642689</v>
      </c>
      <c r="W49" s="52">
        <f t="shared" si="30"/>
        <v>120</v>
      </c>
      <c r="X49" s="87">
        <f t="shared" si="31"/>
        <v>153.45216825057076</v>
      </c>
      <c r="Y49" s="53">
        <f t="shared" si="32"/>
        <v>4109.75637451484</v>
      </c>
      <c r="AA49" s="58">
        <f t="shared" si="9"/>
        <v>22</v>
      </c>
      <c r="AB49" s="52">
        <f t="shared" si="10"/>
        <v>44</v>
      </c>
      <c r="AC49" s="52">
        <f t="shared" si="11"/>
        <v>0</v>
      </c>
      <c r="AD49" s="54">
        <f t="shared" si="49"/>
        <v>0.15</v>
      </c>
      <c r="AE49" s="52">
        <f t="shared" si="12"/>
        <v>4200</v>
      </c>
      <c r="AF49" s="52">
        <f t="shared" si="33"/>
        <v>0</v>
      </c>
      <c r="AG49" s="52">
        <f t="shared" si="34"/>
        <v>0</v>
      </c>
      <c r="AH49" s="52">
        <f t="shared" si="13"/>
        <v>0</v>
      </c>
      <c r="AI49" s="53">
        <f t="shared" si="35"/>
        <v>0</v>
      </c>
      <c r="AK49" s="58">
        <f t="shared" si="36"/>
        <v>22</v>
      </c>
      <c r="AL49" s="52">
        <f t="shared" si="36"/>
        <v>44</v>
      </c>
      <c r="AM49" s="52">
        <f t="shared" si="14"/>
        <v>1</v>
      </c>
      <c r="AN49" s="54">
        <f t="shared" si="15"/>
        <v>0.13500000000000001</v>
      </c>
      <c r="AO49" s="54">
        <f t="shared" si="16"/>
        <v>0.18</v>
      </c>
      <c r="AP49" s="207">
        <f t="shared" si="37"/>
        <v>4200</v>
      </c>
      <c r="AQ49" s="52">
        <f t="shared" si="38"/>
        <v>20140.597082887409</v>
      </c>
      <c r="AR49" s="52">
        <f t="shared" si="39"/>
        <v>630</v>
      </c>
      <c r="AS49" s="48">
        <f t="shared" si="40"/>
        <v>805.62388331549641</v>
      </c>
      <c r="AT49" s="53">
        <f t="shared" si="41"/>
        <v>21576.220966202905</v>
      </c>
      <c r="AV49" s="58">
        <f t="shared" si="17"/>
        <v>22</v>
      </c>
      <c r="AW49" s="52">
        <f t="shared" si="17"/>
        <v>44</v>
      </c>
      <c r="AX49" s="48">
        <v>1</v>
      </c>
      <c r="AY49" s="54">
        <f t="shared" si="18"/>
        <v>0.13500000000000001</v>
      </c>
      <c r="AZ49" s="54">
        <f t="shared" si="19"/>
        <v>0.18</v>
      </c>
      <c r="BA49" s="207">
        <f t="shared" si="42"/>
        <v>4200</v>
      </c>
      <c r="BB49" s="52">
        <f t="shared" si="43"/>
        <v>20140.597082887409</v>
      </c>
      <c r="BC49" s="48">
        <f t="shared" si="44"/>
        <v>630</v>
      </c>
      <c r="BD49" s="48">
        <f t="shared" si="45"/>
        <v>805.62388331549641</v>
      </c>
      <c r="BE49" s="53">
        <f t="shared" si="46"/>
        <v>21576.220966202905</v>
      </c>
    </row>
    <row r="50" spans="2:57" ht="15.75" thickTop="1" thickBot="1">
      <c r="B50" s="58">
        <f t="shared" si="50"/>
        <v>23</v>
      </c>
      <c r="C50" s="52">
        <f t="shared" si="50"/>
        <v>44</v>
      </c>
      <c r="D50" s="185">
        <f t="shared" si="47"/>
        <v>1</v>
      </c>
      <c r="E50" s="48">
        <f t="shared" si="21"/>
        <v>700</v>
      </c>
      <c r="F50" s="205">
        <f t="shared" si="22"/>
        <v>6</v>
      </c>
      <c r="G50" s="192">
        <f t="shared" si="23"/>
        <v>4200</v>
      </c>
      <c r="I50" s="58">
        <f t="shared" si="24"/>
        <v>23</v>
      </c>
      <c r="J50" s="74">
        <f t="shared" si="25"/>
        <v>44</v>
      </c>
      <c r="K50" s="74">
        <f t="shared" si="3"/>
        <v>6</v>
      </c>
      <c r="L50" s="52">
        <f t="shared" si="26"/>
        <v>3000</v>
      </c>
      <c r="M50" s="74">
        <f t="shared" si="4"/>
        <v>1200</v>
      </c>
      <c r="N50" s="74">
        <f t="shared" si="27"/>
        <v>4200</v>
      </c>
      <c r="O50" s="180">
        <f t="shared" si="28"/>
        <v>700</v>
      </c>
      <c r="Q50" s="58">
        <f t="shared" si="5"/>
        <v>23</v>
      </c>
      <c r="R50" s="52">
        <f t="shared" si="6"/>
        <v>45</v>
      </c>
      <c r="S50" s="52">
        <f t="shared" si="7"/>
        <v>1</v>
      </c>
      <c r="T50" s="54">
        <f t="shared" si="48"/>
        <v>0.1</v>
      </c>
      <c r="U50" s="52">
        <f t="shared" si="8"/>
        <v>1200</v>
      </c>
      <c r="V50" s="52">
        <f t="shared" si="29"/>
        <v>4109.75637451484</v>
      </c>
      <c r="W50" s="52">
        <f t="shared" si="30"/>
        <v>120</v>
      </c>
      <c r="X50" s="87">
        <f t="shared" si="31"/>
        <v>164.3902549805936</v>
      </c>
      <c r="Y50" s="53">
        <f t="shared" si="32"/>
        <v>4394.1466294954334</v>
      </c>
      <c r="AA50" s="58">
        <f t="shared" si="9"/>
        <v>23</v>
      </c>
      <c r="AB50" s="52">
        <f t="shared" si="10"/>
        <v>45</v>
      </c>
      <c r="AC50" s="52">
        <f t="shared" si="11"/>
        <v>0</v>
      </c>
      <c r="AD50" s="54">
        <f t="shared" si="49"/>
        <v>0.15</v>
      </c>
      <c r="AE50" s="52">
        <f t="shared" si="12"/>
        <v>4200</v>
      </c>
      <c r="AF50" s="52">
        <f t="shared" si="33"/>
        <v>0</v>
      </c>
      <c r="AG50" s="52">
        <f t="shared" si="34"/>
        <v>0</v>
      </c>
      <c r="AH50" s="52">
        <f t="shared" si="13"/>
        <v>0</v>
      </c>
      <c r="AI50" s="53">
        <f t="shared" si="35"/>
        <v>0</v>
      </c>
      <c r="AK50" s="58">
        <f t="shared" si="36"/>
        <v>23</v>
      </c>
      <c r="AL50" s="52">
        <f t="shared" si="36"/>
        <v>45</v>
      </c>
      <c r="AM50" s="52">
        <f t="shared" si="14"/>
        <v>1</v>
      </c>
      <c r="AN50" s="54">
        <f t="shared" si="15"/>
        <v>0.13500000000000001</v>
      </c>
      <c r="AO50" s="54">
        <f t="shared" si="16"/>
        <v>0.18</v>
      </c>
      <c r="AP50" s="207">
        <f t="shared" si="37"/>
        <v>4200</v>
      </c>
      <c r="AQ50" s="52">
        <f t="shared" si="38"/>
        <v>21576.220966202905</v>
      </c>
      <c r="AR50" s="52">
        <f t="shared" si="39"/>
        <v>630</v>
      </c>
      <c r="AS50" s="48">
        <f t="shared" si="40"/>
        <v>863.0488386481162</v>
      </c>
      <c r="AT50" s="53">
        <f t="shared" si="41"/>
        <v>23069.269804851021</v>
      </c>
      <c r="AV50" s="58">
        <f t="shared" si="17"/>
        <v>23</v>
      </c>
      <c r="AW50" s="52">
        <f t="shared" si="17"/>
        <v>45</v>
      </c>
      <c r="AX50" s="48">
        <v>1</v>
      </c>
      <c r="AY50" s="54">
        <f t="shared" si="18"/>
        <v>0.13500000000000001</v>
      </c>
      <c r="AZ50" s="54">
        <f t="shared" si="19"/>
        <v>0.18</v>
      </c>
      <c r="BA50" s="207">
        <f t="shared" si="42"/>
        <v>4200</v>
      </c>
      <c r="BB50" s="52">
        <f t="shared" si="43"/>
        <v>21576.220966202905</v>
      </c>
      <c r="BC50" s="48">
        <f t="shared" si="44"/>
        <v>630</v>
      </c>
      <c r="BD50" s="48">
        <f t="shared" si="45"/>
        <v>863.0488386481162</v>
      </c>
      <c r="BE50" s="53">
        <f t="shared" si="46"/>
        <v>23069.269804851021</v>
      </c>
    </row>
    <row r="51" spans="2:57" ht="15.75" thickTop="1" thickBot="1">
      <c r="B51" s="58">
        <f t="shared" si="50"/>
        <v>24</v>
      </c>
      <c r="C51" s="52">
        <f t="shared" si="50"/>
        <v>45</v>
      </c>
      <c r="D51" s="185">
        <f t="shared" si="47"/>
        <v>1</v>
      </c>
      <c r="E51" s="48">
        <f t="shared" si="21"/>
        <v>700</v>
      </c>
      <c r="F51" s="205">
        <f t="shared" si="22"/>
        <v>6</v>
      </c>
      <c r="G51" s="192">
        <f t="shared" si="23"/>
        <v>4200</v>
      </c>
      <c r="I51" s="58">
        <f t="shared" si="24"/>
        <v>24</v>
      </c>
      <c r="J51" s="74">
        <f t="shared" si="25"/>
        <v>45</v>
      </c>
      <c r="K51" s="74">
        <f t="shared" si="3"/>
        <v>6</v>
      </c>
      <c r="L51" s="52">
        <f t="shared" si="26"/>
        <v>3000</v>
      </c>
      <c r="M51" s="74">
        <f t="shared" si="4"/>
        <v>1200</v>
      </c>
      <c r="N51" s="74">
        <f t="shared" si="27"/>
        <v>4200</v>
      </c>
      <c r="O51" s="180">
        <f t="shared" si="28"/>
        <v>700</v>
      </c>
      <c r="Q51" s="58">
        <f t="shared" si="5"/>
        <v>24</v>
      </c>
      <c r="R51" s="52">
        <f t="shared" si="6"/>
        <v>46</v>
      </c>
      <c r="S51" s="52">
        <f t="shared" si="7"/>
        <v>1</v>
      </c>
      <c r="T51" s="54">
        <f t="shared" si="48"/>
        <v>0.1</v>
      </c>
      <c r="U51" s="52">
        <f t="shared" si="8"/>
        <v>1200</v>
      </c>
      <c r="V51" s="52">
        <f t="shared" si="29"/>
        <v>4394.1466294954334</v>
      </c>
      <c r="W51" s="52">
        <f t="shared" si="30"/>
        <v>120</v>
      </c>
      <c r="X51" s="87">
        <f t="shared" si="31"/>
        <v>175.76586517981735</v>
      </c>
      <c r="Y51" s="53">
        <f t="shared" si="32"/>
        <v>4689.9124946752509</v>
      </c>
      <c r="AA51" s="58">
        <f t="shared" si="9"/>
        <v>24</v>
      </c>
      <c r="AB51" s="52">
        <f t="shared" si="10"/>
        <v>46</v>
      </c>
      <c r="AC51" s="52">
        <f t="shared" si="11"/>
        <v>0</v>
      </c>
      <c r="AD51" s="54">
        <f t="shared" si="49"/>
        <v>0.15</v>
      </c>
      <c r="AE51" s="52">
        <f t="shared" si="12"/>
        <v>4200</v>
      </c>
      <c r="AF51" s="52">
        <f t="shared" si="33"/>
        <v>0</v>
      </c>
      <c r="AG51" s="52">
        <f t="shared" si="34"/>
        <v>0</v>
      </c>
      <c r="AH51" s="52">
        <f t="shared" si="13"/>
        <v>0</v>
      </c>
      <c r="AI51" s="53">
        <f t="shared" si="35"/>
        <v>0</v>
      </c>
      <c r="AK51" s="58">
        <f t="shared" si="36"/>
        <v>24</v>
      </c>
      <c r="AL51" s="52">
        <f t="shared" si="36"/>
        <v>46</v>
      </c>
      <c r="AM51" s="52">
        <f t="shared" si="14"/>
        <v>1</v>
      </c>
      <c r="AN51" s="54">
        <f t="shared" si="15"/>
        <v>0.13500000000000001</v>
      </c>
      <c r="AO51" s="54">
        <f t="shared" si="16"/>
        <v>0.18</v>
      </c>
      <c r="AP51" s="207">
        <f t="shared" si="37"/>
        <v>4200</v>
      </c>
      <c r="AQ51" s="52">
        <f t="shared" si="38"/>
        <v>23069.269804851021</v>
      </c>
      <c r="AR51" s="52">
        <f t="shared" si="39"/>
        <v>630</v>
      </c>
      <c r="AS51" s="48">
        <f t="shared" si="40"/>
        <v>922.77079219404084</v>
      </c>
      <c r="AT51" s="53">
        <f t="shared" si="41"/>
        <v>24622.040597045063</v>
      </c>
      <c r="AV51" s="58">
        <f t="shared" si="17"/>
        <v>24</v>
      </c>
      <c r="AW51" s="52">
        <f t="shared" si="17"/>
        <v>46</v>
      </c>
      <c r="AX51" s="48">
        <v>1</v>
      </c>
      <c r="AY51" s="54">
        <f t="shared" si="18"/>
        <v>0.13500000000000001</v>
      </c>
      <c r="AZ51" s="54">
        <f t="shared" si="19"/>
        <v>0.18</v>
      </c>
      <c r="BA51" s="207">
        <f t="shared" si="42"/>
        <v>4200</v>
      </c>
      <c r="BB51" s="52">
        <f t="shared" si="43"/>
        <v>23069.269804851021</v>
      </c>
      <c r="BC51" s="48">
        <f t="shared" si="44"/>
        <v>630</v>
      </c>
      <c r="BD51" s="48">
        <f t="shared" si="45"/>
        <v>922.77079219404084</v>
      </c>
      <c r="BE51" s="53">
        <f t="shared" si="46"/>
        <v>24622.040597045063</v>
      </c>
    </row>
    <row r="52" spans="2:57" ht="15.75" thickTop="1" thickBot="1">
      <c r="B52" s="58">
        <f t="shared" si="50"/>
        <v>25</v>
      </c>
      <c r="C52" s="52">
        <f t="shared" si="50"/>
        <v>46</v>
      </c>
      <c r="D52" s="185">
        <f t="shared" si="47"/>
        <v>1</v>
      </c>
      <c r="E52" s="48">
        <f t="shared" si="21"/>
        <v>700</v>
      </c>
      <c r="F52" s="205">
        <f t="shared" si="22"/>
        <v>6</v>
      </c>
      <c r="G52" s="192">
        <f t="shared" si="23"/>
        <v>4200</v>
      </c>
      <c r="I52" s="58">
        <f t="shared" si="24"/>
        <v>25</v>
      </c>
      <c r="J52" s="74">
        <f t="shared" si="25"/>
        <v>46</v>
      </c>
      <c r="K52" s="74">
        <f t="shared" si="3"/>
        <v>6</v>
      </c>
      <c r="L52" s="125">
        <f t="shared" si="26"/>
        <v>3000</v>
      </c>
      <c r="M52" s="74">
        <f t="shared" si="4"/>
        <v>1200</v>
      </c>
      <c r="N52" s="74">
        <f t="shared" si="27"/>
        <v>4200</v>
      </c>
      <c r="O52" s="180">
        <f t="shared" si="28"/>
        <v>700</v>
      </c>
      <c r="Q52" s="58">
        <f t="shared" si="5"/>
        <v>25</v>
      </c>
      <c r="R52" s="52">
        <f t="shared" si="6"/>
        <v>47</v>
      </c>
      <c r="S52" s="52">
        <f t="shared" si="7"/>
        <v>1</v>
      </c>
      <c r="T52" s="54">
        <f t="shared" si="48"/>
        <v>0.1</v>
      </c>
      <c r="U52" s="52">
        <f t="shared" si="8"/>
        <v>1200</v>
      </c>
      <c r="V52" s="52">
        <f t="shared" si="29"/>
        <v>4689.9124946752509</v>
      </c>
      <c r="W52" s="52">
        <f t="shared" si="30"/>
        <v>120</v>
      </c>
      <c r="X52" s="87">
        <f t="shared" si="31"/>
        <v>187.59649978701003</v>
      </c>
      <c r="Y52" s="53">
        <f t="shared" si="32"/>
        <v>4997.5089944622605</v>
      </c>
      <c r="AA52" s="58">
        <f t="shared" si="9"/>
        <v>25</v>
      </c>
      <c r="AB52" s="52">
        <f t="shared" si="10"/>
        <v>47</v>
      </c>
      <c r="AC52" s="52">
        <f t="shared" si="11"/>
        <v>0</v>
      </c>
      <c r="AD52" s="54">
        <f t="shared" si="49"/>
        <v>0.15</v>
      </c>
      <c r="AE52" s="52">
        <f t="shared" si="12"/>
        <v>4200</v>
      </c>
      <c r="AF52" s="52">
        <f t="shared" si="33"/>
        <v>0</v>
      </c>
      <c r="AG52" s="52">
        <f t="shared" si="34"/>
        <v>0</v>
      </c>
      <c r="AH52" s="52">
        <f t="shared" si="13"/>
        <v>0</v>
      </c>
      <c r="AI52" s="53">
        <f t="shared" si="35"/>
        <v>0</v>
      </c>
      <c r="AK52" s="58">
        <f t="shared" si="36"/>
        <v>25</v>
      </c>
      <c r="AL52" s="52">
        <f t="shared" si="36"/>
        <v>47</v>
      </c>
      <c r="AM52" s="52">
        <f t="shared" si="14"/>
        <v>1</v>
      </c>
      <c r="AN52" s="54">
        <f t="shared" si="15"/>
        <v>0.13500000000000001</v>
      </c>
      <c r="AO52" s="54">
        <f t="shared" si="16"/>
        <v>0.18</v>
      </c>
      <c r="AP52" s="207">
        <f t="shared" si="37"/>
        <v>4200</v>
      </c>
      <c r="AQ52" s="52">
        <f t="shared" si="38"/>
        <v>24622.040597045063</v>
      </c>
      <c r="AR52" s="52">
        <f t="shared" si="39"/>
        <v>630</v>
      </c>
      <c r="AS52" s="48">
        <f t="shared" si="40"/>
        <v>984.88162388180251</v>
      </c>
      <c r="AT52" s="53">
        <f t="shared" si="41"/>
        <v>26236.922220926866</v>
      </c>
      <c r="AV52" s="58">
        <f t="shared" si="17"/>
        <v>25</v>
      </c>
      <c r="AW52" s="52">
        <f t="shared" si="17"/>
        <v>47</v>
      </c>
      <c r="AX52" s="48">
        <v>1</v>
      </c>
      <c r="AY52" s="54">
        <f t="shared" si="18"/>
        <v>0.13500000000000001</v>
      </c>
      <c r="AZ52" s="54">
        <f t="shared" si="19"/>
        <v>0.18</v>
      </c>
      <c r="BA52" s="207">
        <f t="shared" si="42"/>
        <v>4200</v>
      </c>
      <c r="BB52" s="52">
        <f t="shared" si="43"/>
        <v>24622.040597045063</v>
      </c>
      <c r="BC52" s="48">
        <f t="shared" si="44"/>
        <v>630</v>
      </c>
      <c r="BD52" s="48">
        <f t="shared" si="45"/>
        <v>984.88162388180251</v>
      </c>
      <c r="BE52" s="53">
        <f t="shared" si="46"/>
        <v>26236.922220926866</v>
      </c>
    </row>
    <row r="53" spans="2:57" ht="15.75" thickTop="1" thickBot="1">
      <c r="B53" s="58">
        <f t="shared" si="50"/>
        <v>26</v>
      </c>
      <c r="C53" s="52">
        <f t="shared" si="50"/>
        <v>47</v>
      </c>
      <c r="D53" s="185">
        <f t="shared" si="47"/>
        <v>1</v>
      </c>
      <c r="E53" s="48">
        <f t="shared" si="21"/>
        <v>700</v>
      </c>
      <c r="F53" s="205">
        <f t="shared" si="22"/>
        <v>6</v>
      </c>
      <c r="G53" s="192">
        <f t="shared" si="23"/>
        <v>4200</v>
      </c>
      <c r="I53" s="58">
        <f t="shared" si="24"/>
        <v>26</v>
      </c>
      <c r="J53" s="74">
        <f t="shared" si="25"/>
        <v>47</v>
      </c>
      <c r="K53" s="74">
        <f t="shared" si="3"/>
        <v>6</v>
      </c>
      <c r="L53" s="125">
        <f t="shared" si="26"/>
        <v>3000</v>
      </c>
      <c r="M53" s="74">
        <f t="shared" si="4"/>
        <v>1200</v>
      </c>
      <c r="N53" s="74">
        <f t="shared" si="27"/>
        <v>4200</v>
      </c>
      <c r="O53" s="180">
        <f t="shared" si="28"/>
        <v>700</v>
      </c>
      <c r="Q53" s="58">
        <f t="shared" si="5"/>
        <v>26</v>
      </c>
      <c r="R53" s="52">
        <f t="shared" si="6"/>
        <v>48</v>
      </c>
      <c r="S53" s="52">
        <f t="shared" si="7"/>
        <v>1</v>
      </c>
      <c r="T53" s="54">
        <f t="shared" si="48"/>
        <v>0.1</v>
      </c>
      <c r="U53" s="52">
        <f t="shared" si="8"/>
        <v>1200</v>
      </c>
      <c r="V53" s="52">
        <f t="shared" si="29"/>
        <v>4997.5089944622605</v>
      </c>
      <c r="W53" s="52">
        <f t="shared" si="30"/>
        <v>120</v>
      </c>
      <c r="X53" s="87">
        <f t="shared" si="31"/>
        <v>199.90035977849041</v>
      </c>
      <c r="Y53" s="53">
        <f t="shared" si="32"/>
        <v>5317.4093542407509</v>
      </c>
      <c r="AA53" s="58">
        <f t="shared" si="9"/>
        <v>26</v>
      </c>
      <c r="AB53" s="52">
        <f t="shared" si="10"/>
        <v>48</v>
      </c>
      <c r="AC53" s="52">
        <f t="shared" si="11"/>
        <v>0</v>
      </c>
      <c r="AD53" s="54">
        <f t="shared" si="49"/>
        <v>0.15</v>
      </c>
      <c r="AE53" s="52">
        <f t="shared" si="12"/>
        <v>4200</v>
      </c>
      <c r="AF53" s="52">
        <f t="shared" si="33"/>
        <v>0</v>
      </c>
      <c r="AG53" s="52">
        <f t="shared" si="34"/>
        <v>0</v>
      </c>
      <c r="AH53" s="52">
        <f t="shared" si="13"/>
        <v>0</v>
      </c>
      <c r="AI53" s="53">
        <f t="shared" si="35"/>
        <v>0</v>
      </c>
      <c r="AK53" s="58">
        <f t="shared" si="36"/>
        <v>26</v>
      </c>
      <c r="AL53" s="52">
        <f t="shared" si="36"/>
        <v>48</v>
      </c>
      <c r="AM53" s="52">
        <f t="shared" si="14"/>
        <v>1</v>
      </c>
      <c r="AN53" s="54">
        <f t="shared" si="15"/>
        <v>0.13500000000000001</v>
      </c>
      <c r="AO53" s="54">
        <f t="shared" si="16"/>
        <v>0.18</v>
      </c>
      <c r="AP53" s="207">
        <f t="shared" si="37"/>
        <v>4200</v>
      </c>
      <c r="AQ53" s="52">
        <f t="shared" si="38"/>
        <v>26236.922220926866</v>
      </c>
      <c r="AR53" s="52">
        <f t="shared" si="39"/>
        <v>630</v>
      </c>
      <c r="AS53" s="48">
        <f t="shared" si="40"/>
        <v>1049.4768888370747</v>
      </c>
      <c r="AT53" s="53">
        <f t="shared" si="41"/>
        <v>27916.399109763941</v>
      </c>
      <c r="AV53" s="58">
        <f t="shared" si="17"/>
        <v>26</v>
      </c>
      <c r="AW53" s="52">
        <f t="shared" si="17"/>
        <v>48</v>
      </c>
      <c r="AX53" s="48">
        <v>1</v>
      </c>
      <c r="AY53" s="54">
        <f t="shared" si="18"/>
        <v>0.13500000000000001</v>
      </c>
      <c r="AZ53" s="54">
        <f t="shared" si="19"/>
        <v>0.18</v>
      </c>
      <c r="BA53" s="207">
        <f t="shared" si="42"/>
        <v>4200</v>
      </c>
      <c r="BB53" s="52">
        <f t="shared" si="43"/>
        <v>26236.922220926866</v>
      </c>
      <c r="BC53" s="48">
        <f t="shared" si="44"/>
        <v>630</v>
      </c>
      <c r="BD53" s="48">
        <f t="shared" si="45"/>
        <v>1049.4768888370747</v>
      </c>
      <c r="BE53" s="53">
        <f t="shared" si="46"/>
        <v>27916.399109763941</v>
      </c>
    </row>
    <row r="54" spans="2:57" ht="15.75" thickTop="1" thickBot="1">
      <c r="B54" s="58">
        <f t="shared" si="50"/>
        <v>27</v>
      </c>
      <c r="C54" s="52">
        <f t="shared" si="50"/>
        <v>48</v>
      </c>
      <c r="D54" s="185">
        <f t="shared" si="47"/>
        <v>1</v>
      </c>
      <c r="E54" s="48">
        <f t="shared" si="21"/>
        <v>700</v>
      </c>
      <c r="F54" s="205">
        <f t="shared" si="22"/>
        <v>6</v>
      </c>
      <c r="G54" s="192">
        <f t="shared" si="23"/>
        <v>4200</v>
      </c>
      <c r="I54" s="58">
        <f t="shared" si="24"/>
        <v>27</v>
      </c>
      <c r="J54" s="74">
        <f t="shared" si="25"/>
        <v>48</v>
      </c>
      <c r="K54" s="74">
        <f t="shared" si="3"/>
        <v>6</v>
      </c>
      <c r="L54" s="125">
        <f t="shared" si="26"/>
        <v>3000</v>
      </c>
      <c r="M54" s="74">
        <f t="shared" si="4"/>
        <v>1200</v>
      </c>
      <c r="N54" s="74">
        <f t="shared" si="27"/>
        <v>4200</v>
      </c>
      <c r="O54" s="180">
        <f t="shared" si="28"/>
        <v>700</v>
      </c>
      <c r="Q54" s="58">
        <f t="shared" si="5"/>
        <v>27</v>
      </c>
      <c r="R54" s="52">
        <f t="shared" si="6"/>
        <v>49</v>
      </c>
      <c r="S54" s="52">
        <f t="shared" si="7"/>
        <v>1</v>
      </c>
      <c r="T54" s="54">
        <f t="shared" si="48"/>
        <v>0.1</v>
      </c>
      <c r="U54" s="52">
        <f t="shared" si="8"/>
        <v>1200</v>
      </c>
      <c r="V54" s="52">
        <f t="shared" si="29"/>
        <v>5317.4093542407509</v>
      </c>
      <c r="W54" s="52">
        <f t="shared" si="30"/>
        <v>120</v>
      </c>
      <c r="X54" s="87">
        <f t="shared" si="31"/>
        <v>212.69637416963005</v>
      </c>
      <c r="Y54" s="53">
        <f t="shared" si="32"/>
        <v>5650.1057284103808</v>
      </c>
      <c r="AA54" s="58">
        <f t="shared" si="9"/>
        <v>27</v>
      </c>
      <c r="AB54" s="52">
        <f t="shared" si="10"/>
        <v>49</v>
      </c>
      <c r="AC54" s="52">
        <f t="shared" si="11"/>
        <v>0</v>
      </c>
      <c r="AD54" s="54">
        <f t="shared" si="49"/>
        <v>0.15</v>
      </c>
      <c r="AE54" s="52">
        <f t="shared" si="12"/>
        <v>4200</v>
      </c>
      <c r="AF54" s="52">
        <f t="shared" si="33"/>
        <v>0</v>
      </c>
      <c r="AG54" s="52">
        <f t="shared" si="34"/>
        <v>0</v>
      </c>
      <c r="AH54" s="52">
        <f t="shared" si="13"/>
        <v>0</v>
      </c>
      <c r="AI54" s="53">
        <f t="shared" si="35"/>
        <v>0</v>
      </c>
      <c r="AK54" s="58">
        <f t="shared" si="36"/>
        <v>27</v>
      </c>
      <c r="AL54" s="52">
        <f t="shared" si="36"/>
        <v>49</v>
      </c>
      <c r="AM54" s="52">
        <f t="shared" si="14"/>
        <v>1</v>
      </c>
      <c r="AN54" s="54">
        <f t="shared" si="15"/>
        <v>0.13500000000000001</v>
      </c>
      <c r="AO54" s="54">
        <f t="shared" si="16"/>
        <v>0.18</v>
      </c>
      <c r="AP54" s="207">
        <f t="shared" si="37"/>
        <v>4200</v>
      </c>
      <c r="AQ54" s="52">
        <f t="shared" si="38"/>
        <v>27916.399109763941</v>
      </c>
      <c r="AR54" s="52">
        <f t="shared" si="39"/>
        <v>630</v>
      </c>
      <c r="AS54" s="48">
        <f t="shared" si="40"/>
        <v>1116.6559643905578</v>
      </c>
      <c r="AT54" s="53">
        <f t="shared" si="41"/>
        <v>29663.055074154498</v>
      </c>
      <c r="AV54" s="58">
        <f t="shared" si="17"/>
        <v>27</v>
      </c>
      <c r="AW54" s="52">
        <f t="shared" si="17"/>
        <v>49</v>
      </c>
      <c r="AX54" s="48">
        <v>1</v>
      </c>
      <c r="AY54" s="54">
        <f t="shared" si="18"/>
        <v>0.13500000000000001</v>
      </c>
      <c r="AZ54" s="54">
        <f t="shared" si="19"/>
        <v>0.18</v>
      </c>
      <c r="BA54" s="207">
        <f t="shared" si="42"/>
        <v>4200</v>
      </c>
      <c r="BB54" s="52">
        <f t="shared" si="43"/>
        <v>27916.399109763941</v>
      </c>
      <c r="BC54" s="48">
        <f t="shared" si="44"/>
        <v>630</v>
      </c>
      <c r="BD54" s="48">
        <f t="shared" si="45"/>
        <v>1116.6559643905578</v>
      </c>
      <c r="BE54" s="53">
        <f t="shared" si="46"/>
        <v>29663.055074154498</v>
      </c>
    </row>
    <row r="55" spans="2:57" ht="15.75" thickTop="1" thickBot="1">
      <c r="B55" s="58">
        <f t="shared" si="50"/>
        <v>28</v>
      </c>
      <c r="C55" s="52">
        <f t="shared" si="50"/>
        <v>49</v>
      </c>
      <c r="D55" s="185">
        <f t="shared" si="47"/>
        <v>1</v>
      </c>
      <c r="E55" s="48">
        <f t="shared" si="21"/>
        <v>700</v>
      </c>
      <c r="F55" s="205">
        <f t="shared" si="22"/>
        <v>6</v>
      </c>
      <c r="G55" s="192">
        <f t="shared" si="23"/>
        <v>4200</v>
      </c>
      <c r="I55" s="58">
        <f t="shared" si="24"/>
        <v>28</v>
      </c>
      <c r="J55" s="74">
        <f t="shared" si="25"/>
        <v>49</v>
      </c>
      <c r="K55" s="74">
        <f t="shared" si="3"/>
        <v>6</v>
      </c>
      <c r="L55" s="125">
        <f t="shared" si="26"/>
        <v>3000</v>
      </c>
      <c r="M55" s="74">
        <f t="shared" si="4"/>
        <v>1200</v>
      </c>
      <c r="N55" s="74">
        <f t="shared" si="27"/>
        <v>4200</v>
      </c>
      <c r="O55" s="180">
        <f t="shared" si="28"/>
        <v>700</v>
      </c>
      <c r="Q55" s="58">
        <f t="shared" si="5"/>
        <v>28</v>
      </c>
      <c r="R55" s="52">
        <f t="shared" si="6"/>
        <v>50</v>
      </c>
      <c r="S55" s="52">
        <f t="shared" si="7"/>
        <v>1</v>
      </c>
      <c r="T55" s="54">
        <f t="shared" si="48"/>
        <v>0.1</v>
      </c>
      <c r="U55" s="52">
        <f t="shared" si="8"/>
        <v>1200</v>
      </c>
      <c r="V55" s="52">
        <f t="shared" si="29"/>
        <v>5650.1057284103808</v>
      </c>
      <c r="W55" s="52">
        <f t="shared" si="30"/>
        <v>120</v>
      </c>
      <c r="X55" s="87">
        <f t="shared" si="31"/>
        <v>226.00422913641523</v>
      </c>
      <c r="Y55" s="53">
        <f t="shared" si="32"/>
        <v>5996.1099575467961</v>
      </c>
      <c r="AA55" s="58">
        <f t="shared" si="9"/>
        <v>28</v>
      </c>
      <c r="AB55" s="52">
        <f t="shared" si="10"/>
        <v>50</v>
      </c>
      <c r="AC55" s="52">
        <f t="shared" si="11"/>
        <v>0</v>
      </c>
      <c r="AD55" s="54">
        <f t="shared" si="49"/>
        <v>0.15</v>
      </c>
      <c r="AE55" s="52">
        <f t="shared" si="12"/>
        <v>4200</v>
      </c>
      <c r="AF55" s="52">
        <f t="shared" si="33"/>
        <v>0</v>
      </c>
      <c r="AG55" s="52">
        <f t="shared" si="34"/>
        <v>0</v>
      </c>
      <c r="AH55" s="52">
        <f t="shared" si="13"/>
        <v>0</v>
      </c>
      <c r="AI55" s="53">
        <f t="shared" si="35"/>
        <v>0</v>
      </c>
      <c r="AK55" s="58">
        <f t="shared" si="36"/>
        <v>28</v>
      </c>
      <c r="AL55" s="52">
        <f t="shared" si="36"/>
        <v>50</v>
      </c>
      <c r="AM55" s="52">
        <f t="shared" si="14"/>
        <v>1</v>
      </c>
      <c r="AN55" s="54">
        <f t="shared" si="15"/>
        <v>0.13500000000000001</v>
      </c>
      <c r="AO55" s="54">
        <f t="shared" si="16"/>
        <v>0.18</v>
      </c>
      <c r="AP55" s="207">
        <f t="shared" si="37"/>
        <v>4200</v>
      </c>
      <c r="AQ55" s="52">
        <f t="shared" si="38"/>
        <v>29663.055074154498</v>
      </c>
      <c r="AR55" s="52">
        <f t="shared" si="39"/>
        <v>630</v>
      </c>
      <c r="AS55" s="48">
        <f t="shared" si="40"/>
        <v>1186.52220296618</v>
      </c>
      <c r="AT55" s="53">
        <f t="shared" si="41"/>
        <v>31479.577277120676</v>
      </c>
      <c r="AV55" s="58">
        <f t="shared" si="17"/>
        <v>28</v>
      </c>
      <c r="AW55" s="52">
        <f t="shared" si="17"/>
        <v>50</v>
      </c>
      <c r="AX55" s="48">
        <v>1</v>
      </c>
      <c r="AY55" s="54">
        <f t="shared" si="18"/>
        <v>0.13500000000000001</v>
      </c>
      <c r="AZ55" s="54">
        <f t="shared" si="19"/>
        <v>0.18</v>
      </c>
      <c r="BA55" s="207">
        <f t="shared" si="42"/>
        <v>4200</v>
      </c>
      <c r="BB55" s="52">
        <f t="shared" si="43"/>
        <v>29663.055074154498</v>
      </c>
      <c r="BC55" s="48">
        <f t="shared" si="44"/>
        <v>630</v>
      </c>
      <c r="BD55" s="48">
        <f t="shared" si="45"/>
        <v>1186.52220296618</v>
      </c>
      <c r="BE55" s="53">
        <f t="shared" si="46"/>
        <v>31479.577277120676</v>
      </c>
    </row>
    <row r="56" spans="2:57" ht="15.75" thickTop="1" thickBot="1">
      <c r="B56" s="58">
        <f t="shared" si="50"/>
        <v>29</v>
      </c>
      <c r="C56" s="52">
        <f t="shared" si="50"/>
        <v>50</v>
      </c>
      <c r="D56" s="185">
        <f t="shared" si="47"/>
        <v>1</v>
      </c>
      <c r="E56" s="48">
        <f t="shared" si="21"/>
        <v>700</v>
      </c>
      <c r="F56" s="205">
        <f t="shared" si="22"/>
        <v>6</v>
      </c>
      <c r="G56" s="192">
        <f t="shared" si="23"/>
        <v>4200</v>
      </c>
      <c r="I56" s="58">
        <f t="shared" si="24"/>
        <v>29</v>
      </c>
      <c r="J56" s="74">
        <f t="shared" si="25"/>
        <v>50</v>
      </c>
      <c r="K56" s="74">
        <f t="shared" si="3"/>
        <v>6</v>
      </c>
      <c r="L56" s="125">
        <f t="shared" si="26"/>
        <v>3000</v>
      </c>
      <c r="M56" s="74">
        <f t="shared" si="4"/>
        <v>1200</v>
      </c>
      <c r="N56" s="74">
        <f t="shared" si="27"/>
        <v>4200</v>
      </c>
      <c r="O56" s="180">
        <f t="shared" si="28"/>
        <v>700</v>
      </c>
      <c r="Q56" s="58">
        <f t="shared" si="5"/>
        <v>29</v>
      </c>
      <c r="R56" s="52">
        <f t="shared" si="6"/>
        <v>51</v>
      </c>
      <c r="S56" s="52">
        <f t="shared" si="7"/>
        <v>1</v>
      </c>
      <c r="T56" s="54">
        <f t="shared" si="48"/>
        <v>0.1</v>
      </c>
      <c r="U56" s="52">
        <f t="shared" si="8"/>
        <v>1200</v>
      </c>
      <c r="V56" s="52">
        <f t="shared" si="29"/>
        <v>5996.1099575467961</v>
      </c>
      <c r="W56" s="52">
        <f t="shared" si="30"/>
        <v>120</v>
      </c>
      <c r="X56" s="87">
        <f t="shared" si="31"/>
        <v>239.84439830187185</v>
      </c>
      <c r="Y56" s="53">
        <f t="shared" si="32"/>
        <v>6355.9543558486675</v>
      </c>
      <c r="AA56" s="58">
        <f t="shared" si="9"/>
        <v>29</v>
      </c>
      <c r="AB56" s="52">
        <f t="shared" si="10"/>
        <v>51</v>
      </c>
      <c r="AC56" s="52">
        <f t="shared" si="11"/>
        <v>0</v>
      </c>
      <c r="AD56" s="54">
        <f t="shared" si="49"/>
        <v>0.15</v>
      </c>
      <c r="AE56" s="52">
        <f t="shared" si="12"/>
        <v>4200</v>
      </c>
      <c r="AF56" s="52">
        <f t="shared" si="33"/>
        <v>0</v>
      </c>
      <c r="AG56" s="52">
        <f t="shared" si="34"/>
        <v>0</v>
      </c>
      <c r="AH56" s="52">
        <f t="shared" si="13"/>
        <v>0</v>
      </c>
      <c r="AI56" s="53">
        <f t="shared" si="35"/>
        <v>0</v>
      </c>
      <c r="AK56" s="58">
        <f t="shared" si="36"/>
        <v>29</v>
      </c>
      <c r="AL56" s="52">
        <f t="shared" si="36"/>
        <v>51</v>
      </c>
      <c r="AM56" s="52">
        <f t="shared" si="14"/>
        <v>1</v>
      </c>
      <c r="AN56" s="54">
        <f t="shared" si="15"/>
        <v>0.13500000000000001</v>
      </c>
      <c r="AO56" s="54">
        <f t="shared" si="16"/>
        <v>0.18</v>
      </c>
      <c r="AP56" s="207">
        <f t="shared" si="37"/>
        <v>4200</v>
      </c>
      <c r="AQ56" s="52">
        <f t="shared" si="38"/>
        <v>31479.577277120676</v>
      </c>
      <c r="AR56" s="52">
        <f t="shared" si="39"/>
        <v>630</v>
      </c>
      <c r="AS56" s="48">
        <f t="shared" si="40"/>
        <v>1259.1830910848271</v>
      </c>
      <c r="AT56" s="53">
        <f t="shared" si="41"/>
        <v>33368.760368205505</v>
      </c>
      <c r="AV56" s="58">
        <f t="shared" si="17"/>
        <v>29</v>
      </c>
      <c r="AW56" s="52">
        <f t="shared" si="17"/>
        <v>51</v>
      </c>
      <c r="AX56" s="48">
        <v>1</v>
      </c>
      <c r="AY56" s="54">
        <f t="shared" si="18"/>
        <v>0.13500000000000001</v>
      </c>
      <c r="AZ56" s="54">
        <f t="shared" si="19"/>
        <v>0.18</v>
      </c>
      <c r="BA56" s="207">
        <f t="shared" si="42"/>
        <v>4200</v>
      </c>
      <c r="BB56" s="52">
        <f t="shared" si="43"/>
        <v>31479.577277120676</v>
      </c>
      <c r="BC56" s="48">
        <f t="shared" si="44"/>
        <v>630</v>
      </c>
      <c r="BD56" s="48">
        <f t="shared" si="45"/>
        <v>1259.1830910848271</v>
      </c>
      <c r="BE56" s="53">
        <f t="shared" si="46"/>
        <v>33368.760368205505</v>
      </c>
    </row>
    <row r="57" spans="2:57" ht="15.75" thickTop="1" thickBot="1">
      <c r="B57" s="58">
        <f t="shared" si="50"/>
        <v>30</v>
      </c>
      <c r="C57" s="52">
        <f t="shared" si="50"/>
        <v>51</v>
      </c>
      <c r="D57" s="185">
        <f t="shared" si="47"/>
        <v>1</v>
      </c>
      <c r="E57" s="48">
        <f t="shared" si="21"/>
        <v>700</v>
      </c>
      <c r="F57" s="205">
        <f t="shared" si="22"/>
        <v>6</v>
      </c>
      <c r="G57" s="192">
        <f t="shared" si="23"/>
        <v>4200</v>
      </c>
      <c r="I57" s="58">
        <f t="shared" si="24"/>
        <v>30</v>
      </c>
      <c r="J57" s="74">
        <f t="shared" si="25"/>
        <v>51</v>
      </c>
      <c r="K57" s="74">
        <f t="shared" si="3"/>
        <v>6</v>
      </c>
      <c r="L57" s="125">
        <f t="shared" si="26"/>
        <v>3000</v>
      </c>
      <c r="M57" s="74">
        <f t="shared" si="4"/>
        <v>1200</v>
      </c>
      <c r="N57" s="74">
        <f t="shared" si="27"/>
        <v>4200</v>
      </c>
      <c r="O57" s="180">
        <f t="shared" si="28"/>
        <v>700</v>
      </c>
      <c r="Q57" s="58">
        <f t="shared" si="5"/>
        <v>30</v>
      </c>
      <c r="R57" s="52">
        <f t="shared" si="6"/>
        <v>52</v>
      </c>
      <c r="S57" s="52">
        <f t="shared" si="7"/>
        <v>1</v>
      </c>
      <c r="T57" s="54">
        <f t="shared" si="48"/>
        <v>0.1</v>
      </c>
      <c r="U57" s="52">
        <f t="shared" si="8"/>
        <v>1200</v>
      </c>
      <c r="V57" s="52">
        <f t="shared" si="29"/>
        <v>6355.9543558486675</v>
      </c>
      <c r="W57" s="52">
        <f t="shared" si="30"/>
        <v>120</v>
      </c>
      <c r="X57" s="87">
        <f t="shared" si="31"/>
        <v>254.23817423394669</v>
      </c>
      <c r="Y57" s="53">
        <f t="shared" si="32"/>
        <v>6730.1925300826142</v>
      </c>
      <c r="AA57" s="58">
        <f t="shared" si="9"/>
        <v>30</v>
      </c>
      <c r="AB57" s="52">
        <f t="shared" si="10"/>
        <v>52</v>
      </c>
      <c r="AC57" s="52">
        <f t="shared" si="11"/>
        <v>0</v>
      </c>
      <c r="AD57" s="54">
        <f t="shared" si="49"/>
        <v>0.15</v>
      </c>
      <c r="AE57" s="52">
        <f t="shared" si="12"/>
        <v>4200</v>
      </c>
      <c r="AF57" s="52">
        <f t="shared" si="33"/>
        <v>0</v>
      </c>
      <c r="AG57" s="52">
        <f t="shared" si="34"/>
        <v>0</v>
      </c>
      <c r="AH57" s="52">
        <f t="shared" si="13"/>
        <v>0</v>
      </c>
      <c r="AI57" s="53">
        <f t="shared" si="35"/>
        <v>0</v>
      </c>
      <c r="AK57" s="58">
        <f t="shared" si="36"/>
        <v>30</v>
      </c>
      <c r="AL57" s="52">
        <f t="shared" si="36"/>
        <v>52</v>
      </c>
      <c r="AM57" s="52">
        <f t="shared" si="14"/>
        <v>1</v>
      </c>
      <c r="AN57" s="54">
        <f t="shared" si="15"/>
        <v>0.13500000000000001</v>
      </c>
      <c r="AO57" s="54">
        <f t="shared" si="16"/>
        <v>0.18</v>
      </c>
      <c r="AP57" s="207">
        <f t="shared" si="37"/>
        <v>4200</v>
      </c>
      <c r="AQ57" s="52">
        <f t="shared" si="38"/>
        <v>33368.760368205505</v>
      </c>
      <c r="AR57" s="52">
        <f t="shared" si="39"/>
        <v>630</v>
      </c>
      <c r="AS57" s="48">
        <f t="shared" si="40"/>
        <v>1334.7504147282202</v>
      </c>
      <c r="AT57" s="53">
        <f t="shared" si="41"/>
        <v>35333.510782933728</v>
      </c>
      <c r="AV57" s="58">
        <f t="shared" si="17"/>
        <v>30</v>
      </c>
      <c r="AW57" s="52">
        <f t="shared" si="17"/>
        <v>52</v>
      </c>
      <c r="AX57" s="48">
        <v>1</v>
      </c>
      <c r="AY57" s="54">
        <f t="shared" si="18"/>
        <v>0.13500000000000001</v>
      </c>
      <c r="AZ57" s="54">
        <f t="shared" si="19"/>
        <v>0.18</v>
      </c>
      <c r="BA57" s="207">
        <f t="shared" si="42"/>
        <v>4200</v>
      </c>
      <c r="BB57" s="52">
        <f t="shared" si="43"/>
        <v>33368.760368205505</v>
      </c>
      <c r="BC57" s="48">
        <f t="shared" si="44"/>
        <v>630</v>
      </c>
      <c r="BD57" s="48">
        <f t="shared" si="45"/>
        <v>1334.7504147282202</v>
      </c>
      <c r="BE57" s="53">
        <f t="shared" si="46"/>
        <v>35333.510782933728</v>
      </c>
    </row>
    <row r="58" spans="2:57" ht="15.75" thickTop="1" thickBot="1">
      <c r="B58" s="58">
        <f t="shared" si="50"/>
        <v>31</v>
      </c>
      <c r="C58" s="52">
        <f t="shared" si="50"/>
        <v>52</v>
      </c>
      <c r="D58" s="185">
        <f t="shared" si="47"/>
        <v>1</v>
      </c>
      <c r="E58" s="48">
        <f t="shared" si="21"/>
        <v>700</v>
      </c>
      <c r="F58" s="205">
        <f t="shared" si="22"/>
        <v>6</v>
      </c>
      <c r="G58" s="192">
        <f t="shared" si="23"/>
        <v>4200</v>
      </c>
      <c r="I58" s="58">
        <f t="shared" si="24"/>
        <v>31</v>
      </c>
      <c r="J58" s="74">
        <f t="shared" si="25"/>
        <v>52</v>
      </c>
      <c r="K58" s="74">
        <f t="shared" si="3"/>
        <v>6</v>
      </c>
      <c r="L58" s="125">
        <f t="shared" si="26"/>
        <v>3000</v>
      </c>
      <c r="M58" s="74">
        <f t="shared" si="4"/>
        <v>1200</v>
      </c>
      <c r="N58" s="74">
        <f t="shared" si="27"/>
        <v>4200</v>
      </c>
      <c r="O58" s="180">
        <f t="shared" si="28"/>
        <v>700</v>
      </c>
      <c r="Q58" s="58">
        <f t="shared" si="5"/>
        <v>31</v>
      </c>
      <c r="R58" s="52">
        <f t="shared" si="6"/>
        <v>53</v>
      </c>
      <c r="S58" s="52">
        <f t="shared" si="7"/>
        <v>1</v>
      </c>
      <c r="T58" s="54">
        <f t="shared" si="48"/>
        <v>0.1</v>
      </c>
      <c r="U58" s="52">
        <f t="shared" si="8"/>
        <v>1200</v>
      </c>
      <c r="V58" s="52">
        <f t="shared" si="29"/>
        <v>6730.1925300826142</v>
      </c>
      <c r="W58" s="52">
        <f t="shared" si="30"/>
        <v>120</v>
      </c>
      <c r="X58" s="87">
        <f t="shared" si="31"/>
        <v>269.20770120330457</v>
      </c>
      <c r="Y58" s="53">
        <f t="shared" si="32"/>
        <v>7119.4002312859184</v>
      </c>
      <c r="AA58" s="58">
        <f t="shared" si="9"/>
        <v>31</v>
      </c>
      <c r="AB58" s="52">
        <f t="shared" si="10"/>
        <v>53</v>
      </c>
      <c r="AC58" s="52">
        <f t="shared" si="11"/>
        <v>0</v>
      </c>
      <c r="AD58" s="54">
        <f t="shared" si="49"/>
        <v>0.15</v>
      </c>
      <c r="AE58" s="52">
        <f t="shared" si="12"/>
        <v>4200</v>
      </c>
      <c r="AF58" s="52">
        <f t="shared" si="33"/>
        <v>0</v>
      </c>
      <c r="AG58" s="52">
        <f t="shared" si="34"/>
        <v>0</v>
      </c>
      <c r="AH58" s="52">
        <f t="shared" si="13"/>
        <v>0</v>
      </c>
      <c r="AI58" s="53">
        <f t="shared" si="35"/>
        <v>0</v>
      </c>
      <c r="AK58" s="58">
        <f t="shared" si="36"/>
        <v>31</v>
      </c>
      <c r="AL58" s="52">
        <f t="shared" si="36"/>
        <v>53</v>
      </c>
      <c r="AM58" s="52">
        <f t="shared" si="14"/>
        <v>1</v>
      </c>
      <c r="AN58" s="54">
        <f t="shared" si="15"/>
        <v>0.13500000000000001</v>
      </c>
      <c r="AO58" s="54">
        <f t="shared" si="16"/>
        <v>0.18</v>
      </c>
      <c r="AP58" s="207">
        <f t="shared" si="37"/>
        <v>4200</v>
      </c>
      <c r="AQ58" s="52">
        <f t="shared" si="38"/>
        <v>35333.510782933728</v>
      </c>
      <c r="AR58" s="52">
        <f t="shared" si="39"/>
        <v>630</v>
      </c>
      <c r="AS58" s="48">
        <f t="shared" si="40"/>
        <v>1413.3404313173492</v>
      </c>
      <c r="AT58" s="53">
        <f t="shared" si="41"/>
        <v>37376.851214251081</v>
      </c>
      <c r="AV58" s="58">
        <f t="shared" si="17"/>
        <v>31</v>
      </c>
      <c r="AW58" s="52">
        <f t="shared" si="17"/>
        <v>53</v>
      </c>
      <c r="AX58" s="48">
        <v>1</v>
      </c>
      <c r="AY58" s="54">
        <f t="shared" si="18"/>
        <v>0.13500000000000001</v>
      </c>
      <c r="AZ58" s="54">
        <f t="shared" si="19"/>
        <v>0.18</v>
      </c>
      <c r="BA58" s="207">
        <f t="shared" si="42"/>
        <v>4200</v>
      </c>
      <c r="BB58" s="52">
        <f t="shared" si="43"/>
        <v>35333.510782933728</v>
      </c>
      <c r="BC58" s="48">
        <f t="shared" si="44"/>
        <v>630</v>
      </c>
      <c r="BD58" s="48">
        <f t="shared" si="45"/>
        <v>1413.3404313173492</v>
      </c>
      <c r="BE58" s="53">
        <f t="shared" si="46"/>
        <v>37376.851214251081</v>
      </c>
    </row>
    <row r="59" spans="2:57" ht="15.75" thickTop="1" thickBot="1">
      <c r="B59" s="124">
        <f t="shared" si="50"/>
        <v>32</v>
      </c>
      <c r="C59" s="125">
        <f t="shared" si="50"/>
        <v>53</v>
      </c>
      <c r="D59" s="185">
        <f t="shared" si="47"/>
        <v>1</v>
      </c>
      <c r="E59" s="48">
        <f t="shared" si="21"/>
        <v>700</v>
      </c>
      <c r="F59" s="205">
        <f t="shared" si="22"/>
        <v>6</v>
      </c>
      <c r="G59" s="192">
        <f t="shared" si="23"/>
        <v>4200</v>
      </c>
      <c r="I59" s="58">
        <f t="shared" si="24"/>
        <v>32</v>
      </c>
      <c r="J59" s="74">
        <f t="shared" si="25"/>
        <v>53</v>
      </c>
      <c r="K59" s="74">
        <f t="shared" si="3"/>
        <v>6</v>
      </c>
      <c r="L59" s="125">
        <f t="shared" si="26"/>
        <v>3000</v>
      </c>
      <c r="M59" s="74">
        <f t="shared" si="4"/>
        <v>1200</v>
      </c>
      <c r="N59" s="74">
        <f t="shared" si="27"/>
        <v>4200</v>
      </c>
      <c r="O59" s="180">
        <f t="shared" si="28"/>
        <v>700</v>
      </c>
      <c r="Q59" s="58">
        <f t="shared" si="5"/>
        <v>32</v>
      </c>
      <c r="R59" s="52">
        <f t="shared" si="6"/>
        <v>54</v>
      </c>
      <c r="S59" s="52">
        <f t="shared" si="7"/>
        <v>1</v>
      </c>
      <c r="T59" s="54">
        <f t="shared" si="48"/>
        <v>0.1</v>
      </c>
      <c r="U59" s="52">
        <f t="shared" si="8"/>
        <v>1200</v>
      </c>
      <c r="V59" s="52">
        <f t="shared" si="29"/>
        <v>7119.4002312859184</v>
      </c>
      <c r="W59" s="52">
        <f t="shared" si="30"/>
        <v>120</v>
      </c>
      <c r="X59" s="87">
        <f t="shared" si="31"/>
        <v>284.77600925143673</v>
      </c>
      <c r="Y59" s="53">
        <f t="shared" si="32"/>
        <v>7524.1762405373547</v>
      </c>
      <c r="AA59" s="58">
        <f t="shared" si="9"/>
        <v>32</v>
      </c>
      <c r="AB59" s="52">
        <f t="shared" si="10"/>
        <v>54</v>
      </c>
      <c r="AC59" s="52">
        <f t="shared" si="11"/>
        <v>0</v>
      </c>
      <c r="AD59" s="54">
        <f t="shared" si="49"/>
        <v>0.15</v>
      </c>
      <c r="AE59" s="52">
        <f t="shared" si="12"/>
        <v>4200</v>
      </c>
      <c r="AF59" s="52">
        <f t="shared" si="33"/>
        <v>0</v>
      </c>
      <c r="AG59" s="52">
        <f t="shared" si="34"/>
        <v>0</v>
      </c>
      <c r="AH59" s="52">
        <f t="shared" si="13"/>
        <v>0</v>
      </c>
      <c r="AI59" s="53">
        <f t="shared" si="35"/>
        <v>0</v>
      </c>
      <c r="AK59" s="58">
        <f t="shared" si="36"/>
        <v>32</v>
      </c>
      <c r="AL59" s="52">
        <f t="shared" si="36"/>
        <v>54</v>
      </c>
      <c r="AM59" s="52">
        <f t="shared" si="14"/>
        <v>1</v>
      </c>
      <c r="AN59" s="54">
        <f t="shared" si="15"/>
        <v>0.13500000000000001</v>
      </c>
      <c r="AO59" s="54">
        <f t="shared" si="16"/>
        <v>0.18</v>
      </c>
      <c r="AP59" s="207">
        <f t="shared" si="37"/>
        <v>4200</v>
      </c>
      <c r="AQ59" s="52">
        <f t="shared" si="38"/>
        <v>37376.851214251081</v>
      </c>
      <c r="AR59" s="52">
        <f t="shared" si="39"/>
        <v>630</v>
      </c>
      <c r="AS59" s="48">
        <f t="shared" si="40"/>
        <v>1495.0740485700433</v>
      </c>
      <c r="AT59" s="53">
        <f t="shared" si="41"/>
        <v>39501.925262821125</v>
      </c>
      <c r="AV59" s="58">
        <f t="shared" si="17"/>
        <v>32</v>
      </c>
      <c r="AW59" s="52">
        <f t="shared" si="17"/>
        <v>54</v>
      </c>
      <c r="AX59" s="48">
        <v>1</v>
      </c>
      <c r="AY59" s="54">
        <f t="shared" si="18"/>
        <v>0.13500000000000001</v>
      </c>
      <c r="AZ59" s="54">
        <f t="shared" si="19"/>
        <v>0.18</v>
      </c>
      <c r="BA59" s="207">
        <f t="shared" si="42"/>
        <v>4200</v>
      </c>
      <c r="BB59" s="52">
        <f t="shared" si="43"/>
        <v>37376.851214251081</v>
      </c>
      <c r="BC59" s="48">
        <f t="shared" si="44"/>
        <v>630</v>
      </c>
      <c r="BD59" s="48">
        <f t="shared" si="45"/>
        <v>1495.0740485700433</v>
      </c>
      <c r="BE59" s="53">
        <f t="shared" si="46"/>
        <v>39501.925262821125</v>
      </c>
    </row>
    <row r="60" spans="2:57" ht="15.75" thickTop="1" thickBot="1">
      <c r="B60" s="124">
        <f t="shared" si="50"/>
        <v>33</v>
      </c>
      <c r="C60" s="125">
        <f t="shared" si="50"/>
        <v>54</v>
      </c>
      <c r="D60" s="185">
        <f t="shared" si="47"/>
        <v>1</v>
      </c>
      <c r="E60" s="48">
        <f t="shared" si="21"/>
        <v>700</v>
      </c>
      <c r="F60" s="205">
        <f t="shared" si="22"/>
        <v>6</v>
      </c>
      <c r="G60" s="192">
        <f t="shared" si="23"/>
        <v>4200</v>
      </c>
      <c r="I60" s="124">
        <f t="shared" si="24"/>
        <v>33</v>
      </c>
      <c r="J60" s="129">
        <f t="shared" si="25"/>
        <v>54</v>
      </c>
      <c r="K60" s="129">
        <f t="shared" si="3"/>
        <v>6</v>
      </c>
      <c r="L60" s="125">
        <f t="shared" si="26"/>
        <v>3000</v>
      </c>
      <c r="M60" s="74">
        <f t="shared" si="4"/>
        <v>1200</v>
      </c>
      <c r="N60" s="74">
        <f t="shared" si="27"/>
        <v>4200</v>
      </c>
      <c r="O60" s="180">
        <f t="shared" si="28"/>
        <v>700</v>
      </c>
      <c r="Q60" s="124">
        <f t="shared" si="5"/>
        <v>33</v>
      </c>
      <c r="R60" s="125">
        <f t="shared" si="6"/>
        <v>55</v>
      </c>
      <c r="S60" s="52">
        <f t="shared" si="7"/>
        <v>1</v>
      </c>
      <c r="T60" s="126">
        <f t="shared" si="48"/>
        <v>0.1</v>
      </c>
      <c r="U60" s="52">
        <f t="shared" si="8"/>
        <v>1200</v>
      </c>
      <c r="V60" s="125">
        <f t="shared" si="29"/>
        <v>7524.1762405373547</v>
      </c>
      <c r="W60" s="52">
        <f t="shared" si="30"/>
        <v>120</v>
      </c>
      <c r="X60" s="87">
        <f t="shared" si="31"/>
        <v>300.9670496214942</v>
      </c>
      <c r="Y60" s="128">
        <f t="shared" si="32"/>
        <v>7945.1432901588487</v>
      </c>
      <c r="AA60" s="124">
        <f t="shared" si="9"/>
        <v>33</v>
      </c>
      <c r="AB60" s="125">
        <f t="shared" si="10"/>
        <v>55</v>
      </c>
      <c r="AC60" s="125">
        <f t="shared" si="11"/>
        <v>0</v>
      </c>
      <c r="AD60" s="126">
        <f t="shared" si="49"/>
        <v>0.15</v>
      </c>
      <c r="AE60" s="125">
        <f t="shared" si="12"/>
        <v>4200</v>
      </c>
      <c r="AF60" s="125">
        <f t="shared" si="33"/>
        <v>0</v>
      </c>
      <c r="AG60" s="125">
        <f t="shared" si="34"/>
        <v>0</v>
      </c>
      <c r="AH60" s="125">
        <f t="shared" si="13"/>
        <v>0</v>
      </c>
      <c r="AI60" s="128">
        <f t="shared" si="35"/>
        <v>0</v>
      </c>
      <c r="AK60" s="124">
        <f t="shared" si="36"/>
        <v>33</v>
      </c>
      <c r="AL60" s="125">
        <f t="shared" si="36"/>
        <v>55</v>
      </c>
      <c r="AM60" s="125">
        <f t="shared" si="14"/>
        <v>1</v>
      </c>
      <c r="AN60" s="126">
        <f t="shared" si="15"/>
        <v>0.13500000000000001</v>
      </c>
      <c r="AO60" s="126">
        <f t="shared" si="16"/>
        <v>0.18</v>
      </c>
      <c r="AP60" s="207">
        <f t="shared" si="37"/>
        <v>4200</v>
      </c>
      <c r="AQ60" s="125">
        <f t="shared" si="38"/>
        <v>39501.925262821125</v>
      </c>
      <c r="AR60" s="52">
        <f t="shared" si="39"/>
        <v>630</v>
      </c>
      <c r="AS60" s="48">
        <f t="shared" si="40"/>
        <v>1580.0770105128449</v>
      </c>
      <c r="AT60" s="128">
        <f t="shared" si="41"/>
        <v>41712.002273333972</v>
      </c>
      <c r="AV60" s="124">
        <f t="shared" ref="AV60:AW76" si="51">+AK60</f>
        <v>33</v>
      </c>
      <c r="AW60" s="125">
        <f t="shared" si="51"/>
        <v>55</v>
      </c>
      <c r="AX60" s="48">
        <v>1</v>
      </c>
      <c r="AY60" s="126">
        <f t="shared" si="18"/>
        <v>0.13500000000000001</v>
      </c>
      <c r="AZ60" s="126">
        <f t="shared" si="19"/>
        <v>0.18</v>
      </c>
      <c r="BA60" s="207">
        <f t="shared" si="42"/>
        <v>4200</v>
      </c>
      <c r="BB60" s="125">
        <f t="shared" si="43"/>
        <v>39501.925262821125</v>
      </c>
      <c r="BC60" s="48">
        <f t="shared" si="44"/>
        <v>630</v>
      </c>
      <c r="BD60" s="48">
        <f t="shared" si="45"/>
        <v>1580.0770105128449</v>
      </c>
      <c r="BE60" s="128">
        <f t="shared" si="46"/>
        <v>41712.002273333972</v>
      </c>
    </row>
    <row r="61" spans="2:57" ht="15.75" thickTop="1" thickBot="1">
      <c r="B61" s="58">
        <f t="shared" ref="B61:C76" si="52">+B60+1</f>
        <v>34</v>
      </c>
      <c r="C61" s="52">
        <f t="shared" si="52"/>
        <v>55</v>
      </c>
      <c r="D61" s="185">
        <f t="shared" si="47"/>
        <v>1</v>
      </c>
      <c r="E61" s="48">
        <f t="shared" si="21"/>
        <v>700</v>
      </c>
      <c r="F61" s="205">
        <f t="shared" si="22"/>
        <v>6</v>
      </c>
      <c r="G61" s="192">
        <f t="shared" si="23"/>
        <v>4200</v>
      </c>
      <c r="I61" s="58">
        <f t="shared" si="24"/>
        <v>34</v>
      </c>
      <c r="J61" s="74">
        <f t="shared" si="25"/>
        <v>55</v>
      </c>
      <c r="K61" s="74">
        <f t="shared" si="3"/>
        <v>6</v>
      </c>
      <c r="L61" s="125">
        <f t="shared" si="26"/>
        <v>3000</v>
      </c>
      <c r="M61" s="74">
        <f t="shared" si="4"/>
        <v>1200</v>
      </c>
      <c r="N61" s="74">
        <f t="shared" si="27"/>
        <v>4200</v>
      </c>
      <c r="O61" s="180">
        <f t="shared" si="28"/>
        <v>700</v>
      </c>
      <c r="Q61" s="58">
        <f t="shared" si="5"/>
        <v>34</v>
      </c>
      <c r="R61" s="52">
        <f t="shared" si="6"/>
        <v>56</v>
      </c>
      <c r="S61" s="52">
        <f t="shared" si="7"/>
        <v>1</v>
      </c>
      <c r="T61" s="54">
        <f t="shared" si="48"/>
        <v>0.1</v>
      </c>
      <c r="U61" s="52">
        <f t="shared" si="8"/>
        <v>1200</v>
      </c>
      <c r="V61" s="52">
        <f t="shared" si="29"/>
        <v>7945.1432901588487</v>
      </c>
      <c r="W61" s="52">
        <f t="shared" si="30"/>
        <v>120</v>
      </c>
      <c r="X61" s="87">
        <f t="shared" si="31"/>
        <v>317.80573160635396</v>
      </c>
      <c r="Y61" s="53">
        <f t="shared" si="32"/>
        <v>8382.9490217652019</v>
      </c>
      <c r="AA61" s="58">
        <f t="shared" si="9"/>
        <v>34</v>
      </c>
      <c r="AB61" s="52">
        <f t="shared" si="10"/>
        <v>56</v>
      </c>
      <c r="AC61" s="52">
        <f t="shared" si="11"/>
        <v>0</v>
      </c>
      <c r="AD61" s="54">
        <f t="shared" si="49"/>
        <v>0.15</v>
      </c>
      <c r="AE61" s="52">
        <f t="shared" si="12"/>
        <v>4200</v>
      </c>
      <c r="AF61" s="52">
        <f t="shared" si="33"/>
        <v>0</v>
      </c>
      <c r="AG61" s="52">
        <f t="shared" si="34"/>
        <v>0</v>
      </c>
      <c r="AH61" s="52">
        <f t="shared" si="13"/>
        <v>0</v>
      </c>
      <c r="AI61" s="53">
        <f t="shared" si="35"/>
        <v>0</v>
      </c>
      <c r="AK61" s="58">
        <f t="shared" si="36"/>
        <v>34</v>
      </c>
      <c r="AL61" s="52">
        <f t="shared" si="36"/>
        <v>56</v>
      </c>
      <c r="AM61" s="52">
        <f t="shared" si="14"/>
        <v>1</v>
      </c>
      <c r="AN61" s="54">
        <f t="shared" si="15"/>
        <v>0.13500000000000001</v>
      </c>
      <c r="AO61" s="54">
        <f t="shared" si="16"/>
        <v>0.18</v>
      </c>
      <c r="AP61" s="207">
        <f t="shared" si="37"/>
        <v>4200</v>
      </c>
      <c r="AQ61" s="52">
        <f t="shared" si="38"/>
        <v>41712.002273333972</v>
      </c>
      <c r="AR61" s="52">
        <f t="shared" si="39"/>
        <v>630</v>
      </c>
      <c r="AS61" s="48">
        <f t="shared" si="40"/>
        <v>1668.480090933359</v>
      </c>
      <c r="AT61" s="53">
        <f t="shared" si="41"/>
        <v>44010.482364267329</v>
      </c>
      <c r="AV61" s="58">
        <f t="shared" si="51"/>
        <v>34</v>
      </c>
      <c r="AW61" s="52">
        <f t="shared" si="51"/>
        <v>56</v>
      </c>
      <c r="AX61" s="48">
        <v>1</v>
      </c>
      <c r="AY61" s="54">
        <f t="shared" si="18"/>
        <v>0.13500000000000001</v>
      </c>
      <c r="AZ61" s="54">
        <f t="shared" si="19"/>
        <v>0.18</v>
      </c>
      <c r="BA61" s="207">
        <f t="shared" si="42"/>
        <v>4200</v>
      </c>
      <c r="BB61" s="52">
        <f t="shared" si="43"/>
        <v>41712.002273333972</v>
      </c>
      <c r="BC61" s="48">
        <f t="shared" si="44"/>
        <v>630</v>
      </c>
      <c r="BD61" s="48">
        <f t="shared" si="45"/>
        <v>1668.480090933359</v>
      </c>
      <c r="BE61" s="53">
        <f t="shared" si="46"/>
        <v>44010.482364267329</v>
      </c>
    </row>
    <row r="62" spans="2:57" ht="15.75" thickTop="1" thickBot="1">
      <c r="B62" s="58">
        <f t="shared" si="52"/>
        <v>35</v>
      </c>
      <c r="C62" s="52">
        <f t="shared" si="52"/>
        <v>56</v>
      </c>
      <c r="D62" s="185">
        <f t="shared" si="47"/>
        <v>1</v>
      </c>
      <c r="E62" s="48">
        <f t="shared" si="21"/>
        <v>700</v>
      </c>
      <c r="F62" s="205">
        <f t="shared" si="22"/>
        <v>6</v>
      </c>
      <c r="G62" s="192">
        <f t="shared" si="23"/>
        <v>4200</v>
      </c>
      <c r="I62" s="58">
        <f t="shared" si="24"/>
        <v>35</v>
      </c>
      <c r="J62" s="74">
        <f t="shared" si="25"/>
        <v>56</v>
      </c>
      <c r="K62" s="74">
        <f t="shared" si="3"/>
        <v>6</v>
      </c>
      <c r="L62" s="52">
        <f t="shared" si="26"/>
        <v>3000</v>
      </c>
      <c r="M62" s="74">
        <f t="shared" si="4"/>
        <v>1200</v>
      </c>
      <c r="N62" s="74">
        <f t="shared" si="27"/>
        <v>4200</v>
      </c>
      <c r="O62" s="180">
        <f t="shared" si="28"/>
        <v>700</v>
      </c>
      <c r="Q62" s="58">
        <f t="shared" si="5"/>
        <v>35</v>
      </c>
      <c r="R62" s="52">
        <f t="shared" si="6"/>
        <v>57</v>
      </c>
      <c r="S62" s="52">
        <f t="shared" si="7"/>
        <v>1</v>
      </c>
      <c r="T62" s="54">
        <f t="shared" si="48"/>
        <v>0.1</v>
      </c>
      <c r="U62" s="52">
        <f t="shared" si="8"/>
        <v>1200</v>
      </c>
      <c r="V62" s="52">
        <f t="shared" si="29"/>
        <v>8382.9490217652019</v>
      </c>
      <c r="W62" s="52">
        <f t="shared" si="30"/>
        <v>120</v>
      </c>
      <c r="X62" s="87">
        <f t="shared" si="31"/>
        <v>335.31796087060809</v>
      </c>
      <c r="Y62" s="53">
        <f t="shared" si="32"/>
        <v>8838.2669826358106</v>
      </c>
      <c r="AA62" s="58">
        <f t="shared" si="9"/>
        <v>35</v>
      </c>
      <c r="AB62" s="52">
        <f t="shared" si="10"/>
        <v>57</v>
      </c>
      <c r="AC62" s="52">
        <f t="shared" si="11"/>
        <v>0</v>
      </c>
      <c r="AD62" s="54">
        <f t="shared" si="49"/>
        <v>0.15</v>
      </c>
      <c r="AE62" s="52">
        <f t="shared" si="12"/>
        <v>4200</v>
      </c>
      <c r="AF62" s="52">
        <f t="shared" si="33"/>
        <v>0</v>
      </c>
      <c r="AG62" s="52">
        <f t="shared" si="34"/>
        <v>0</v>
      </c>
      <c r="AH62" s="52">
        <f t="shared" si="13"/>
        <v>0</v>
      </c>
      <c r="AI62" s="53">
        <f t="shared" si="35"/>
        <v>0</v>
      </c>
      <c r="AK62" s="58">
        <f t="shared" si="36"/>
        <v>35</v>
      </c>
      <c r="AL62" s="52">
        <f t="shared" si="36"/>
        <v>57</v>
      </c>
      <c r="AM62" s="52">
        <f t="shared" si="14"/>
        <v>1</v>
      </c>
      <c r="AN62" s="54">
        <f t="shared" si="15"/>
        <v>0.13500000000000001</v>
      </c>
      <c r="AO62" s="54">
        <f t="shared" si="16"/>
        <v>0.18</v>
      </c>
      <c r="AP62" s="207">
        <f t="shared" si="37"/>
        <v>4200</v>
      </c>
      <c r="AQ62" s="52">
        <f t="shared" si="38"/>
        <v>44010.482364267329</v>
      </c>
      <c r="AR62" s="52">
        <f t="shared" si="39"/>
        <v>630</v>
      </c>
      <c r="AS62" s="48">
        <f t="shared" si="40"/>
        <v>1760.4192945706932</v>
      </c>
      <c r="AT62" s="53">
        <f t="shared" si="41"/>
        <v>46400.901658838025</v>
      </c>
      <c r="AV62" s="58">
        <f t="shared" si="51"/>
        <v>35</v>
      </c>
      <c r="AW62" s="52">
        <f t="shared" si="51"/>
        <v>57</v>
      </c>
      <c r="AX62" s="48">
        <v>1</v>
      </c>
      <c r="AY62" s="54">
        <f t="shared" si="18"/>
        <v>0.13500000000000001</v>
      </c>
      <c r="AZ62" s="54">
        <f t="shared" si="19"/>
        <v>0.18</v>
      </c>
      <c r="BA62" s="207">
        <f t="shared" si="42"/>
        <v>4200</v>
      </c>
      <c r="BB62" s="52">
        <f t="shared" si="43"/>
        <v>44010.482364267329</v>
      </c>
      <c r="BC62" s="48">
        <f t="shared" si="44"/>
        <v>630</v>
      </c>
      <c r="BD62" s="48">
        <f t="shared" si="45"/>
        <v>1760.4192945706932</v>
      </c>
      <c r="BE62" s="53">
        <f t="shared" si="46"/>
        <v>46400.901658838025</v>
      </c>
    </row>
    <row r="63" spans="2:57" ht="15.75" thickTop="1" thickBot="1">
      <c r="B63" s="58">
        <f t="shared" si="52"/>
        <v>36</v>
      </c>
      <c r="C63" s="52">
        <f t="shared" si="52"/>
        <v>57</v>
      </c>
      <c r="D63" s="185">
        <f t="shared" si="47"/>
        <v>1</v>
      </c>
      <c r="E63" s="48">
        <f t="shared" si="21"/>
        <v>700</v>
      </c>
      <c r="F63" s="205">
        <f t="shared" si="22"/>
        <v>6</v>
      </c>
      <c r="G63" s="192">
        <f t="shared" si="23"/>
        <v>4200</v>
      </c>
      <c r="I63" s="58">
        <f t="shared" si="24"/>
        <v>36</v>
      </c>
      <c r="J63" s="74">
        <f t="shared" si="25"/>
        <v>57</v>
      </c>
      <c r="K63" s="74">
        <f t="shared" si="3"/>
        <v>6</v>
      </c>
      <c r="L63" s="52">
        <f t="shared" si="26"/>
        <v>3000</v>
      </c>
      <c r="M63" s="74">
        <f t="shared" si="4"/>
        <v>1200</v>
      </c>
      <c r="N63" s="74">
        <f t="shared" si="27"/>
        <v>4200</v>
      </c>
      <c r="O63" s="180">
        <f t="shared" si="28"/>
        <v>700</v>
      </c>
      <c r="Q63" s="58">
        <f t="shared" si="5"/>
        <v>36</v>
      </c>
      <c r="R63" s="52">
        <f t="shared" si="6"/>
        <v>58</v>
      </c>
      <c r="S63" s="52">
        <f t="shared" si="7"/>
        <v>1</v>
      </c>
      <c r="T63" s="54">
        <f t="shared" si="48"/>
        <v>0.1</v>
      </c>
      <c r="U63" s="52">
        <f t="shared" si="8"/>
        <v>1200</v>
      </c>
      <c r="V63" s="52">
        <f t="shared" si="29"/>
        <v>8838.2669826358106</v>
      </c>
      <c r="W63" s="52">
        <f t="shared" si="30"/>
        <v>120</v>
      </c>
      <c r="X63" s="87">
        <f t="shared" si="31"/>
        <v>353.53067930543244</v>
      </c>
      <c r="Y63" s="53">
        <f t="shared" si="32"/>
        <v>9311.7976619412439</v>
      </c>
      <c r="AA63" s="58">
        <f t="shared" si="9"/>
        <v>36</v>
      </c>
      <c r="AB63" s="52">
        <f t="shared" si="10"/>
        <v>58</v>
      </c>
      <c r="AC63" s="52">
        <f t="shared" si="11"/>
        <v>0</v>
      </c>
      <c r="AD63" s="54">
        <f t="shared" si="49"/>
        <v>0.15</v>
      </c>
      <c r="AE63" s="52">
        <f t="shared" si="12"/>
        <v>4200</v>
      </c>
      <c r="AF63" s="52">
        <f t="shared" si="33"/>
        <v>0</v>
      </c>
      <c r="AG63" s="52">
        <f t="shared" si="34"/>
        <v>0</v>
      </c>
      <c r="AH63" s="52">
        <f t="shared" si="13"/>
        <v>0</v>
      </c>
      <c r="AI63" s="53">
        <f t="shared" si="35"/>
        <v>0</v>
      </c>
      <c r="AK63" s="58">
        <f t="shared" si="36"/>
        <v>36</v>
      </c>
      <c r="AL63" s="52">
        <f t="shared" si="36"/>
        <v>58</v>
      </c>
      <c r="AM63" s="52">
        <f t="shared" si="14"/>
        <v>1</v>
      </c>
      <c r="AN63" s="54">
        <f t="shared" si="15"/>
        <v>0.13500000000000001</v>
      </c>
      <c r="AO63" s="54">
        <f t="shared" si="16"/>
        <v>0.18</v>
      </c>
      <c r="AP63" s="207">
        <f t="shared" si="37"/>
        <v>4200</v>
      </c>
      <c r="AQ63" s="52">
        <f t="shared" si="38"/>
        <v>46400.901658838025</v>
      </c>
      <c r="AR63" s="52">
        <f t="shared" si="39"/>
        <v>630</v>
      </c>
      <c r="AS63" s="48">
        <f t="shared" si="40"/>
        <v>1856.0360663535212</v>
      </c>
      <c r="AT63" s="53">
        <f t="shared" si="41"/>
        <v>48886.937725191543</v>
      </c>
      <c r="AV63" s="58">
        <f t="shared" si="51"/>
        <v>36</v>
      </c>
      <c r="AW63" s="52">
        <f t="shared" si="51"/>
        <v>58</v>
      </c>
      <c r="AX63" s="48">
        <v>1</v>
      </c>
      <c r="AY63" s="54">
        <f t="shared" si="18"/>
        <v>0.13500000000000001</v>
      </c>
      <c r="AZ63" s="54">
        <f t="shared" si="19"/>
        <v>0.18</v>
      </c>
      <c r="BA63" s="207">
        <f t="shared" si="42"/>
        <v>4200</v>
      </c>
      <c r="BB63" s="52">
        <f t="shared" si="43"/>
        <v>46400.901658838025</v>
      </c>
      <c r="BC63" s="48">
        <f t="shared" si="44"/>
        <v>630</v>
      </c>
      <c r="BD63" s="48">
        <f t="shared" si="45"/>
        <v>1856.0360663535212</v>
      </c>
      <c r="BE63" s="53">
        <f t="shared" si="46"/>
        <v>48886.937725191543</v>
      </c>
    </row>
    <row r="64" spans="2:57" customFormat="1" ht="15.75" thickTop="1" thickBot="1">
      <c r="B64" s="124">
        <f t="shared" si="52"/>
        <v>37</v>
      </c>
      <c r="C64" s="125">
        <f t="shared" si="52"/>
        <v>58</v>
      </c>
      <c r="D64" s="186">
        <f t="shared" si="47"/>
        <v>1</v>
      </c>
      <c r="E64" s="127">
        <f t="shared" si="21"/>
        <v>700</v>
      </c>
      <c r="F64" s="229">
        <f t="shared" si="22"/>
        <v>6</v>
      </c>
      <c r="G64" s="192">
        <f t="shared" si="23"/>
        <v>4200</v>
      </c>
      <c r="I64" s="124">
        <f t="shared" si="24"/>
        <v>37</v>
      </c>
      <c r="J64" s="129">
        <f t="shared" si="25"/>
        <v>58</v>
      </c>
      <c r="K64" s="129">
        <f t="shared" si="3"/>
        <v>6</v>
      </c>
      <c r="L64" s="125">
        <f t="shared" si="26"/>
        <v>3000</v>
      </c>
      <c r="M64" s="129">
        <f t="shared" si="4"/>
        <v>1200</v>
      </c>
      <c r="N64" s="129">
        <f t="shared" si="27"/>
        <v>4200</v>
      </c>
      <c r="O64" s="180">
        <f t="shared" si="28"/>
        <v>700</v>
      </c>
      <c r="Q64" s="124">
        <f t="shared" si="5"/>
        <v>37</v>
      </c>
      <c r="R64" s="125">
        <f t="shared" si="6"/>
        <v>59</v>
      </c>
      <c r="S64" s="125">
        <f t="shared" si="7"/>
        <v>1</v>
      </c>
      <c r="T64" s="126">
        <f t="shared" si="48"/>
        <v>0.1</v>
      </c>
      <c r="U64" s="125">
        <f t="shared" si="8"/>
        <v>1200</v>
      </c>
      <c r="V64" s="125">
        <f t="shared" si="29"/>
        <v>9311.7976619412439</v>
      </c>
      <c r="W64" s="125">
        <f t="shared" si="30"/>
        <v>120</v>
      </c>
      <c r="X64" s="234">
        <f t="shared" si="31"/>
        <v>372.47190647764978</v>
      </c>
      <c r="Y64" s="128">
        <f t="shared" si="32"/>
        <v>9804.269568418893</v>
      </c>
      <c r="AA64" s="124">
        <f t="shared" si="9"/>
        <v>37</v>
      </c>
      <c r="AB64" s="125">
        <f t="shared" si="10"/>
        <v>59</v>
      </c>
      <c r="AC64" s="125">
        <f t="shared" si="11"/>
        <v>0</v>
      </c>
      <c r="AD64" s="126">
        <f t="shared" si="49"/>
        <v>0.15</v>
      </c>
      <c r="AE64" s="125">
        <f t="shared" si="12"/>
        <v>4200</v>
      </c>
      <c r="AF64" s="125">
        <f t="shared" si="33"/>
        <v>0</v>
      </c>
      <c r="AG64" s="125">
        <f t="shared" si="34"/>
        <v>0</v>
      </c>
      <c r="AH64" s="125">
        <f t="shared" si="13"/>
        <v>0</v>
      </c>
      <c r="AI64" s="128">
        <f t="shared" si="35"/>
        <v>0</v>
      </c>
      <c r="AK64" s="124">
        <f t="shared" si="36"/>
        <v>37</v>
      </c>
      <c r="AL64" s="125">
        <f t="shared" si="36"/>
        <v>59</v>
      </c>
      <c r="AM64" s="125">
        <f t="shared" si="14"/>
        <v>1</v>
      </c>
      <c r="AN64" s="126">
        <f t="shared" si="15"/>
        <v>0.13500000000000001</v>
      </c>
      <c r="AO64" s="126">
        <f t="shared" si="16"/>
        <v>0.18</v>
      </c>
      <c r="AP64" s="230">
        <f t="shared" si="37"/>
        <v>4200</v>
      </c>
      <c r="AQ64" s="125">
        <f t="shared" si="38"/>
        <v>48886.937725191543</v>
      </c>
      <c r="AR64" s="125">
        <f t="shared" si="39"/>
        <v>630</v>
      </c>
      <c r="AS64" s="127">
        <f t="shared" si="40"/>
        <v>1955.4775090076619</v>
      </c>
      <c r="AT64" s="128">
        <f t="shared" si="41"/>
        <v>51472.415234199201</v>
      </c>
      <c r="AV64" s="124">
        <f t="shared" si="51"/>
        <v>37</v>
      </c>
      <c r="AW64" s="125">
        <f t="shared" si="51"/>
        <v>59</v>
      </c>
      <c r="AX64" s="127">
        <v>1</v>
      </c>
      <c r="AY64" s="126">
        <f t="shared" si="18"/>
        <v>0.13500000000000001</v>
      </c>
      <c r="AZ64" s="126">
        <f t="shared" si="19"/>
        <v>0.18</v>
      </c>
      <c r="BA64" s="230">
        <f t="shared" si="42"/>
        <v>4200</v>
      </c>
      <c r="BB64" s="125">
        <f t="shared" si="43"/>
        <v>48886.937725191543</v>
      </c>
      <c r="BC64" s="127">
        <f t="shared" si="44"/>
        <v>630</v>
      </c>
      <c r="BD64" s="127">
        <f t="shared" si="45"/>
        <v>1955.4775090076619</v>
      </c>
      <c r="BE64" s="128">
        <f t="shared" si="46"/>
        <v>51472.415234199201</v>
      </c>
    </row>
    <row r="65" spans="2:59" ht="15.75" thickTop="1" thickBot="1">
      <c r="B65" s="124">
        <f t="shared" si="52"/>
        <v>38</v>
      </c>
      <c r="C65" s="125">
        <f t="shared" si="52"/>
        <v>59</v>
      </c>
      <c r="D65" s="186">
        <f t="shared" si="47"/>
        <v>1</v>
      </c>
      <c r="E65" s="48">
        <f t="shared" si="21"/>
        <v>700</v>
      </c>
      <c r="F65" s="205">
        <f t="shared" si="22"/>
        <v>6</v>
      </c>
      <c r="G65" s="192">
        <f t="shared" si="23"/>
        <v>4200</v>
      </c>
      <c r="H65"/>
      <c r="I65" s="124">
        <f t="shared" si="24"/>
        <v>38</v>
      </c>
      <c r="J65" s="129">
        <f t="shared" si="25"/>
        <v>59</v>
      </c>
      <c r="K65" s="129">
        <f t="shared" si="3"/>
        <v>6</v>
      </c>
      <c r="L65" s="125">
        <f t="shared" si="26"/>
        <v>3000</v>
      </c>
      <c r="M65" s="129">
        <f t="shared" si="4"/>
        <v>1200</v>
      </c>
      <c r="N65" s="129">
        <f t="shared" si="27"/>
        <v>4200</v>
      </c>
      <c r="O65" s="180">
        <f t="shared" si="28"/>
        <v>700</v>
      </c>
      <c r="P65"/>
      <c r="Q65" s="124">
        <f t="shared" si="5"/>
        <v>38</v>
      </c>
      <c r="R65" s="125">
        <f t="shared" si="6"/>
        <v>60</v>
      </c>
      <c r="S65" s="125">
        <f t="shared" si="7"/>
        <v>1</v>
      </c>
      <c r="T65" s="126">
        <f t="shared" si="48"/>
        <v>0.1</v>
      </c>
      <c r="U65" s="125">
        <f t="shared" si="8"/>
        <v>1200</v>
      </c>
      <c r="V65" s="125">
        <f t="shared" si="29"/>
        <v>9804.269568418893</v>
      </c>
      <c r="W65" s="125">
        <f t="shared" si="30"/>
        <v>120</v>
      </c>
      <c r="X65" s="87">
        <f t="shared" si="31"/>
        <v>392.17078273675571</v>
      </c>
      <c r="Y65" s="128">
        <f t="shared" si="32"/>
        <v>10316.440351155648</v>
      </c>
      <c r="Z65"/>
      <c r="AA65" s="124">
        <f t="shared" si="9"/>
        <v>38</v>
      </c>
      <c r="AB65" s="125">
        <f t="shared" si="10"/>
        <v>60</v>
      </c>
      <c r="AC65" s="125">
        <f t="shared" si="11"/>
        <v>0</v>
      </c>
      <c r="AD65" s="126">
        <f t="shared" si="49"/>
        <v>0.15</v>
      </c>
      <c r="AE65" s="125">
        <f t="shared" si="12"/>
        <v>4200</v>
      </c>
      <c r="AF65" s="125">
        <f t="shared" si="33"/>
        <v>0</v>
      </c>
      <c r="AG65" s="125">
        <f t="shared" si="34"/>
        <v>0</v>
      </c>
      <c r="AH65" s="125">
        <f t="shared" si="13"/>
        <v>0</v>
      </c>
      <c r="AI65" s="128">
        <f t="shared" si="35"/>
        <v>0</v>
      </c>
      <c r="AK65" s="124">
        <f t="shared" si="36"/>
        <v>38</v>
      </c>
      <c r="AL65" s="125">
        <f t="shared" si="36"/>
        <v>60</v>
      </c>
      <c r="AM65" s="125">
        <f t="shared" si="14"/>
        <v>1</v>
      </c>
      <c r="AN65" s="126">
        <f t="shared" si="15"/>
        <v>0.13500000000000001</v>
      </c>
      <c r="AO65" s="126">
        <f t="shared" si="16"/>
        <v>0.18</v>
      </c>
      <c r="AP65" s="230">
        <f t="shared" si="37"/>
        <v>4200</v>
      </c>
      <c r="AQ65" s="125">
        <f t="shared" si="38"/>
        <v>51472.415234199201</v>
      </c>
      <c r="AR65" s="125">
        <f t="shared" si="39"/>
        <v>630</v>
      </c>
      <c r="AS65" s="127">
        <f t="shared" si="40"/>
        <v>2058.8966093679683</v>
      </c>
      <c r="AT65" s="128">
        <f t="shared" si="41"/>
        <v>54161.311843567171</v>
      </c>
      <c r="AU65"/>
      <c r="AV65" s="124">
        <f t="shared" si="51"/>
        <v>38</v>
      </c>
      <c r="AW65" s="125">
        <f t="shared" si="51"/>
        <v>60</v>
      </c>
      <c r="AX65" s="127">
        <v>1</v>
      </c>
      <c r="AY65" s="126">
        <f t="shared" si="18"/>
        <v>0.13500000000000001</v>
      </c>
      <c r="AZ65" s="126">
        <f t="shared" si="19"/>
        <v>0.18</v>
      </c>
      <c r="BA65" s="230">
        <f t="shared" si="42"/>
        <v>4200</v>
      </c>
      <c r="BB65" s="125">
        <f t="shared" si="43"/>
        <v>51472.415234199201</v>
      </c>
      <c r="BC65" s="127">
        <f t="shared" si="44"/>
        <v>630</v>
      </c>
      <c r="BD65" s="127">
        <f t="shared" si="45"/>
        <v>2058.8966093679683</v>
      </c>
      <c r="BE65" s="128">
        <f t="shared" si="46"/>
        <v>54161.311843567171</v>
      </c>
      <c r="BG65"/>
    </row>
    <row r="66" spans="2:59" ht="15.75" thickTop="1" thickBot="1">
      <c r="B66" s="124">
        <f t="shared" si="52"/>
        <v>39</v>
      </c>
      <c r="C66" s="125">
        <f t="shared" si="52"/>
        <v>60</v>
      </c>
      <c r="D66" s="185">
        <f t="shared" si="47"/>
        <v>1</v>
      </c>
      <c r="E66" s="48">
        <f t="shared" si="21"/>
        <v>700</v>
      </c>
      <c r="F66" s="205">
        <f t="shared" si="22"/>
        <v>6</v>
      </c>
      <c r="G66" s="192">
        <f t="shared" si="23"/>
        <v>4200</v>
      </c>
      <c r="I66" s="124">
        <f t="shared" si="24"/>
        <v>39</v>
      </c>
      <c r="J66" s="129">
        <f t="shared" si="25"/>
        <v>60</v>
      </c>
      <c r="K66" s="129">
        <f t="shared" si="3"/>
        <v>6</v>
      </c>
      <c r="L66" s="125">
        <f t="shared" si="26"/>
        <v>3000</v>
      </c>
      <c r="M66" s="129">
        <f t="shared" si="4"/>
        <v>1200</v>
      </c>
      <c r="N66" s="129">
        <f t="shared" si="27"/>
        <v>4200</v>
      </c>
      <c r="O66" s="180">
        <f t="shared" si="28"/>
        <v>700</v>
      </c>
      <c r="Q66" s="124">
        <f t="shared" si="5"/>
        <v>39</v>
      </c>
      <c r="R66" s="125">
        <f t="shared" si="6"/>
        <v>61</v>
      </c>
      <c r="S66" s="125">
        <f t="shared" si="7"/>
        <v>1</v>
      </c>
      <c r="T66" s="126">
        <f t="shared" si="48"/>
        <v>0.1</v>
      </c>
      <c r="U66" s="125">
        <f t="shared" si="8"/>
        <v>1200</v>
      </c>
      <c r="V66" s="125">
        <f t="shared" si="29"/>
        <v>10316.440351155648</v>
      </c>
      <c r="W66" s="125">
        <f t="shared" si="30"/>
        <v>120</v>
      </c>
      <c r="X66" s="87">
        <f t="shared" si="31"/>
        <v>412.65761404622594</v>
      </c>
      <c r="Y66" s="128">
        <f t="shared" si="32"/>
        <v>10849.097965201874</v>
      </c>
      <c r="AA66" s="124">
        <f t="shared" si="9"/>
        <v>39</v>
      </c>
      <c r="AB66" s="125">
        <f t="shared" si="10"/>
        <v>61</v>
      </c>
      <c r="AC66" s="125">
        <f t="shared" si="11"/>
        <v>0</v>
      </c>
      <c r="AD66" s="126">
        <f t="shared" si="49"/>
        <v>0.15</v>
      </c>
      <c r="AE66" s="125">
        <f t="shared" si="12"/>
        <v>4200</v>
      </c>
      <c r="AF66" s="125">
        <f t="shared" si="33"/>
        <v>0</v>
      </c>
      <c r="AG66" s="125">
        <f t="shared" si="34"/>
        <v>0</v>
      </c>
      <c r="AH66" s="125">
        <f t="shared" si="13"/>
        <v>0</v>
      </c>
      <c r="AI66" s="128">
        <f t="shared" si="35"/>
        <v>0</v>
      </c>
      <c r="AK66" s="124">
        <f t="shared" si="36"/>
        <v>39</v>
      </c>
      <c r="AL66" s="125">
        <f t="shared" si="36"/>
        <v>61</v>
      </c>
      <c r="AM66" s="125">
        <v>1</v>
      </c>
      <c r="AN66" s="126">
        <f t="shared" si="15"/>
        <v>0.13500000000000001</v>
      </c>
      <c r="AO66" s="126">
        <f t="shared" si="16"/>
        <v>0.18</v>
      </c>
      <c r="AP66" s="207">
        <f t="shared" si="37"/>
        <v>4200</v>
      </c>
      <c r="AQ66" s="125">
        <f t="shared" si="38"/>
        <v>54161.311843567171</v>
      </c>
      <c r="AR66" s="52">
        <f t="shared" si="39"/>
        <v>630</v>
      </c>
      <c r="AS66" s="48">
        <f t="shared" si="40"/>
        <v>2166.4524737426868</v>
      </c>
      <c r="AT66" s="128">
        <f t="shared" si="41"/>
        <v>56957.764317309855</v>
      </c>
      <c r="AV66" s="124">
        <f t="shared" si="51"/>
        <v>39</v>
      </c>
      <c r="AW66" s="125">
        <f t="shared" si="51"/>
        <v>61</v>
      </c>
      <c r="AX66" s="127">
        <v>1</v>
      </c>
      <c r="AY66" s="126">
        <f t="shared" si="18"/>
        <v>0.13500000000000001</v>
      </c>
      <c r="AZ66" s="126">
        <f t="shared" si="19"/>
        <v>0.18</v>
      </c>
      <c r="BA66" s="207">
        <f t="shared" si="42"/>
        <v>4200</v>
      </c>
      <c r="BB66" s="125">
        <f t="shared" si="43"/>
        <v>54161.311843567171</v>
      </c>
      <c r="BC66" s="48">
        <f t="shared" si="44"/>
        <v>630</v>
      </c>
      <c r="BD66" s="48">
        <f t="shared" si="45"/>
        <v>2166.4524737426868</v>
      </c>
      <c r="BE66" s="128">
        <f t="shared" si="46"/>
        <v>56957.764317309855</v>
      </c>
    </row>
    <row r="67" spans="2:59" s="1" customFormat="1" ht="15.75" thickTop="1" thickBot="1">
      <c r="B67" s="157">
        <f t="shared" si="52"/>
        <v>40</v>
      </c>
      <c r="C67" s="158">
        <f t="shared" si="52"/>
        <v>61</v>
      </c>
      <c r="D67" s="187">
        <f t="shared" si="47"/>
        <v>1</v>
      </c>
      <c r="E67" s="183">
        <f t="shared" si="21"/>
        <v>700</v>
      </c>
      <c r="F67" s="206">
        <f t="shared" si="22"/>
        <v>6</v>
      </c>
      <c r="G67" s="232">
        <f t="shared" si="23"/>
        <v>4200</v>
      </c>
      <c r="I67" s="157">
        <f t="shared" si="24"/>
        <v>40</v>
      </c>
      <c r="J67" s="161">
        <f t="shared" si="25"/>
        <v>61</v>
      </c>
      <c r="K67" s="161">
        <f t="shared" si="3"/>
        <v>6</v>
      </c>
      <c r="L67" s="158">
        <f t="shared" si="26"/>
        <v>3000</v>
      </c>
      <c r="M67" s="161">
        <f t="shared" si="4"/>
        <v>1200</v>
      </c>
      <c r="N67" s="161">
        <f t="shared" si="27"/>
        <v>4200</v>
      </c>
      <c r="O67" s="182">
        <f t="shared" si="28"/>
        <v>700</v>
      </c>
      <c r="Q67" s="157">
        <f t="shared" si="5"/>
        <v>40</v>
      </c>
      <c r="R67" s="158">
        <f t="shared" si="6"/>
        <v>62</v>
      </c>
      <c r="S67" s="158">
        <v>1</v>
      </c>
      <c r="T67" s="159">
        <f t="shared" si="48"/>
        <v>0.1</v>
      </c>
      <c r="U67" s="158">
        <f t="shared" si="8"/>
        <v>1200</v>
      </c>
      <c r="V67" s="158">
        <f t="shared" si="29"/>
        <v>10849.097965201874</v>
      </c>
      <c r="W67" s="158">
        <f t="shared" si="30"/>
        <v>120</v>
      </c>
      <c r="X67" s="233">
        <f t="shared" si="31"/>
        <v>433.96391860807495</v>
      </c>
      <c r="Y67" s="160">
        <f t="shared" si="32"/>
        <v>11403.061883809949</v>
      </c>
      <c r="AA67" s="157">
        <f t="shared" si="9"/>
        <v>40</v>
      </c>
      <c r="AB67" s="158">
        <f t="shared" si="10"/>
        <v>62</v>
      </c>
      <c r="AC67" s="158">
        <f t="shared" si="11"/>
        <v>0</v>
      </c>
      <c r="AD67" s="159">
        <f t="shared" si="49"/>
        <v>0.15</v>
      </c>
      <c r="AE67" s="158">
        <f t="shared" si="12"/>
        <v>4200</v>
      </c>
      <c r="AF67" s="158">
        <f t="shared" si="33"/>
        <v>0</v>
      </c>
      <c r="AG67" s="158">
        <f t="shared" si="34"/>
        <v>0</v>
      </c>
      <c r="AH67" s="158">
        <f t="shared" si="13"/>
        <v>0</v>
      </c>
      <c r="AI67" s="160">
        <f t="shared" si="35"/>
        <v>0</v>
      </c>
      <c r="AK67" s="157">
        <f t="shared" si="36"/>
        <v>40</v>
      </c>
      <c r="AL67" s="158">
        <f t="shared" si="36"/>
        <v>62</v>
      </c>
      <c r="AM67" s="158">
        <v>1</v>
      </c>
      <c r="AN67" s="159">
        <f t="shared" si="15"/>
        <v>0.13500000000000001</v>
      </c>
      <c r="AO67" s="159">
        <f t="shared" si="16"/>
        <v>0.18</v>
      </c>
      <c r="AP67" s="228">
        <f t="shared" si="37"/>
        <v>4200</v>
      </c>
      <c r="AQ67" s="158">
        <f t="shared" si="38"/>
        <v>56957.764317309855</v>
      </c>
      <c r="AR67" s="158">
        <f t="shared" si="39"/>
        <v>630</v>
      </c>
      <c r="AS67" s="183">
        <f t="shared" si="40"/>
        <v>2278.3105726923941</v>
      </c>
      <c r="AT67" s="160">
        <f t="shared" si="41"/>
        <v>59866.074890002252</v>
      </c>
      <c r="AV67" s="157">
        <f t="shared" si="51"/>
        <v>40</v>
      </c>
      <c r="AW67" s="158">
        <f t="shared" si="51"/>
        <v>62</v>
      </c>
      <c r="AX67" s="183">
        <v>1</v>
      </c>
      <c r="AY67" s="159">
        <f t="shared" si="18"/>
        <v>0.13500000000000001</v>
      </c>
      <c r="AZ67" s="159">
        <f t="shared" si="19"/>
        <v>0.18</v>
      </c>
      <c r="BA67" s="228">
        <f t="shared" si="42"/>
        <v>4200</v>
      </c>
      <c r="BB67" s="158">
        <f t="shared" si="43"/>
        <v>56957.764317309855</v>
      </c>
      <c r="BC67" s="183">
        <f t="shared" si="44"/>
        <v>630</v>
      </c>
      <c r="BD67" s="183">
        <f t="shared" si="45"/>
        <v>2278.3105726923941</v>
      </c>
      <c r="BE67" s="160">
        <f t="shared" si="46"/>
        <v>59866.074890002252</v>
      </c>
    </row>
    <row r="68" spans="2:59" ht="15.75" thickTop="1" thickBot="1">
      <c r="B68" s="58">
        <f t="shared" si="52"/>
        <v>41</v>
      </c>
      <c r="C68" s="52">
        <f t="shared" si="52"/>
        <v>62</v>
      </c>
      <c r="D68" s="185">
        <f t="shared" si="47"/>
        <v>1</v>
      </c>
      <c r="E68" s="48">
        <f t="shared" si="21"/>
        <v>0</v>
      </c>
      <c r="F68" s="205">
        <f t="shared" si="22"/>
        <v>0</v>
      </c>
      <c r="G68" s="192">
        <f t="shared" si="23"/>
        <v>0</v>
      </c>
      <c r="I68" s="58">
        <f t="shared" si="24"/>
        <v>41</v>
      </c>
      <c r="J68" s="74">
        <f t="shared" si="25"/>
        <v>62</v>
      </c>
      <c r="K68" s="74">
        <f t="shared" si="3"/>
        <v>0</v>
      </c>
      <c r="L68" s="52">
        <f t="shared" si="26"/>
        <v>0</v>
      </c>
      <c r="M68" s="74">
        <f t="shared" si="4"/>
        <v>0</v>
      </c>
      <c r="N68" s="74">
        <f t="shared" si="27"/>
        <v>0</v>
      </c>
      <c r="O68" s="180">
        <f t="shared" si="28"/>
        <v>0</v>
      </c>
      <c r="Q68" s="58">
        <f t="shared" si="5"/>
        <v>41</v>
      </c>
      <c r="R68" s="52">
        <f t="shared" si="6"/>
        <v>63</v>
      </c>
      <c r="S68" s="52">
        <f t="shared" si="7"/>
        <v>0</v>
      </c>
      <c r="T68" s="54">
        <f t="shared" si="48"/>
        <v>0.1</v>
      </c>
      <c r="U68" s="52">
        <f t="shared" si="8"/>
        <v>0</v>
      </c>
      <c r="V68" s="52">
        <f t="shared" si="29"/>
        <v>11403.061883809949</v>
      </c>
      <c r="W68" s="52">
        <f t="shared" si="30"/>
        <v>0</v>
      </c>
      <c r="X68" s="87">
        <f t="shared" si="31"/>
        <v>456.12247535239794</v>
      </c>
      <c r="Y68" s="53">
        <f t="shared" si="32"/>
        <v>11859.184359162347</v>
      </c>
      <c r="AA68" s="58">
        <f t="shared" si="9"/>
        <v>41</v>
      </c>
      <c r="AB68" s="52">
        <f t="shared" si="10"/>
        <v>63</v>
      </c>
      <c r="AC68" s="52">
        <f t="shared" si="11"/>
        <v>0</v>
      </c>
      <c r="AD68" s="54">
        <f t="shared" si="49"/>
        <v>0.15</v>
      </c>
      <c r="AE68" s="52">
        <f t="shared" si="12"/>
        <v>0</v>
      </c>
      <c r="AF68" s="52">
        <f t="shared" si="33"/>
        <v>0</v>
      </c>
      <c r="AG68" s="52">
        <f t="shared" si="34"/>
        <v>0</v>
      </c>
      <c r="AH68" s="52">
        <f t="shared" si="13"/>
        <v>0</v>
      </c>
      <c r="AI68" s="53">
        <f t="shared" si="35"/>
        <v>0</v>
      </c>
      <c r="AK68" s="58">
        <f t="shared" si="36"/>
        <v>41</v>
      </c>
      <c r="AL68" s="52">
        <f t="shared" si="36"/>
        <v>63</v>
      </c>
      <c r="AM68" s="52">
        <v>0</v>
      </c>
      <c r="AN68" s="54">
        <f t="shared" si="15"/>
        <v>0</v>
      </c>
      <c r="AO68" s="54">
        <f t="shared" si="16"/>
        <v>0</v>
      </c>
      <c r="AP68" s="207">
        <f t="shared" si="37"/>
        <v>0</v>
      </c>
      <c r="AQ68" s="52">
        <f t="shared" si="38"/>
        <v>59866.074890002252</v>
      </c>
      <c r="AR68" s="52">
        <f t="shared" si="39"/>
        <v>0</v>
      </c>
      <c r="AS68" s="48">
        <f t="shared" si="40"/>
        <v>2394.6429956000902</v>
      </c>
      <c r="AT68" s="53">
        <f t="shared" si="41"/>
        <v>62260.717885602338</v>
      </c>
      <c r="AV68" s="58">
        <f t="shared" si="51"/>
        <v>41</v>
      </c>
      <c r="AW68" s="52">
        <f t="shared" si="51"/>
        <v>63</v>
      </c>
      <c r="AX68" s="183">
        <v>0</v>
      </c>
      <c r="AY68" s="54">
        <f t="shared" si="18"/>
        <v>0</v>
      </c>
      <c r="AZ68" s="54">
        <f t="shared" si="19"/>
        <v>0</v>
      </c>
      <c r="BA68" s="207">
        <f t="shared" si="42"/>
        <v>0</v>
      </c>
      <c r="BB68" s="52">
        <f t="shared" si="43"/>
        <v>59866.074890002252</v>
      </c>
      <c r="BC68" s="48">
        <f t="shared" si="44"/>
        <v>0</v>
      </c>
      <c r="BD68" s="48">
        <f t="shared" si="45"/>
        <v>2394.6429956000902</v>
      </c>
      <c r="BE68" s="53">
        <f t="shared" si="46"/>
        <v>62260.717885602338</v>
      </c>
    </row>
    <row r="69" spans="2:59" ht="15.75" thickTop="1" thickBot="1">
      <c r="B69" s="58">
        <f t="shared" si="52"/>
        <v>42</v>
      </c>
      <c r="C69" s="52">
        <f t="shared" si="52"/>
        <v>63</v>
      </c>
      <c r="D69" s="185">
        <f t="shared" si="47"/>
        <v>1</v>
      </c>
      <c r="E69" s="48">
        <f t="shared" si="21"/>
        <v>0</v>
      </c>
      <c r="F69" s="205">
        <f t="shared" si="22"/>
        <v>0</v>
      </c>
      <c r="G69" s="192">
        <f t="shared" si="23"/>
        <v>0</v>
      </c>
      <c r="I69" s="58">
        <f t="shared" si="24"/>
        <v>42</v>
      </c>
      <c r="J69" s="74">
        <f t="shared" si="25"/>
        <v>63</v>
      </c>
      <c r="K69" s="74">
        <f t="shared" si="3"/>
        <v>0</v>
      </c>
      <c r="L69" s="52">
        <f t="shared" si="26"/>
        <v>0</v>
      </c>
      <c r="M69" s="74">
        <f t="shared" si="4"/>
        <v>0</v>
      </c>
      <c r="N69" s="74">
        <f t="shared" si="27"/>
        <v>0</v>
      </c>
      <c r="O69" s="180">
        <f t="shared" si="28"/>
        <v>0</v>
      </c>
      <c r="Q69" s="124">
        <f t="shared" si="5"/>
        <v>42</v>
      </c>
      <c r="R69" s="125">
        <f t="shared" si="6"/>
        <v>64</v>
      </c>
      <c r="S69" s="125">
        <f t="shared" si="7"/>
        <v>0</v>
      </c>
      <c r="T69" s="126">
        <f t="shared" si="48"/>
        <v>0.1</v>
      </c>
      <c r="U69" s="125">
        <f t="shared" si="8"/>
        <v>0</v>
      </c>
      <c r="V69" s="125">
        <f t="shared" si="29"/>
        <v>11859.184359162347</v>
      </c>
      <c r="W69" s="125">
        <f t="shared" si="30"/>
        <v>0</v>
      </c>
      <c r="X69" s="87">
        <f t="shared" si="31"/>
        <v>474.36737436649389</v>
      </c>
      <c r="Y69" s="128">
        <f t="shared" si="32"/>
        <v>12333.55173352884</v>
      </c>
      <c r="AA69" s="58">
        <f t="shared" si="9"/>
        <v>42</v>
      </c>
      <c r="AB69" s="52">
        <f t="shared" si="10"/>
        <v>64</v>
      </c>
      <c r="AC69" s="52">
        <f t="shared" si="11"/>
        <v>0</v>
      </c>
      <c r="AD69" s="54">
        <f t="shared" si="49"/>
        <v>0.15</v>
      </c>
      <c r="AE69" s="52">
        <f t="shared" si="12"/>
        <v>0</v>
      </c>
      <c r="AF69" s="52">
        <f t="shared" si="33"/>
        <v>0</v>
      </c>
      <c r="AG69" s="52">
        <f t="shared" si="34"/>
        <v>0</v>
      </c>
      <c r="AH69" s="52">
        <f t="shared" si="13"/>
        <v>0</v>
      </c>
      <c r="AI69" s="53">
        <f t="shared" si="35"/>
        <v>0</v>
      </c>
      <c r="AK69" s="58">
        <f t="shared" si="36"/>
        <v>42</v>
      </c>
      <c r="AL69" s="52">
        <f t="shared" si="36"/>
        <v>64</v>
      </c>
      <c r="AM69" s="52">
        <v>0</v>
      </c>
      <c r="AN69" s="54">
        <f t="shared" si="15"/>
        <v>0</v>
      </c>
      <c r="AO69" s="54">
        <f t="shared" si="16"/>
        <v>0</v>
      </c>
      <c r="AP69" s="207">
        <f t="shared" si="37"/>
        <v>0</v>
      </c>
      <c r="AQ69" s="52">
        <f t="shared" si="38"/>
        <v>62260.717885602338</v>
      </c>
      <c r="AR69" s="52">
        <f t="shared" si="39"/>
        <v>0</v>
      </c>
      <c r="AS69" s="48">
        <f t="shared" si="40"/>
        <v>2490.4287154240938</v>
      </c>
      <c r="AT69" s="53">
        <f t="shared" si="41"/>
        <v>64751.146601026434</v>
      </c>
      <c r="AV69" s="58">
        <f t="shared" si="51"/>
        <v>42</v>
      </c>
      <c r="AW69" s="52">
        <f t="shared" si="51"/>
        <v>64</v>
      </c>
      <c r="AX69" s="183">
        <v>0</v>
      </c>
      <c r="AY69" s="54">
        <f t="shared" si="18"/>
        <v>0</v>
      </c>
      <c r="AZ69" s="54">
        <f t="shared" si="19"/>
        <v>0</v>
      </c>
      <c r="BA69" s="207">
        <f t="shared" si="42"/>
        <v>0</v>
      </c>
      <c r="BB69" s="52">
        <f t="shared" si="43"/>
        <v>62260.717885602338</v>
      </c>
      <c r="BC69" s="48">
        <f t="shared" si="44"/>
        <v>0</v>
      </c>
      <c r="BD69" s="48">
        <f t="shared" si="45"/>
        <v>2490.4287154240938</v>
      </c>
      <c r="BE69" s="53">
        <f t="shared" si="46"/>
        <v>64751.146601026434</v>
      </c>
    </row>
    <row r="70" spans="2:59" ht="15.75" thickTop="1" thickBot="1">
      <c r="B70" s="124">
        <f t="shared" si="52"/>
        <v>43</v>
      </c>
      <c r="C70" s="125">
        <f t="shared" si="52"/>
        <v>64</v>
      </c>
      <c r="D70" s="185">
        <f t="shared" si="47"/>
        <v>1</v>
      </c>
      <c r="E70" s="48">
        <f t="shared" si="21"/>
        <v>0</v>
      </c>
      <c r="F70" s="205">
        <f t="shared" si="22"/>
        <v>0</v>
      </c>
      <c r="G70" s="192">
        <f t="shared" si="23"/>
        <v>0</v>
      </c>
      <c r="I70" s="124">
        <f t="shared" si="24"/>
        <v>43</v>
      </c>
      <c r="J70" s="129">
        <f t="shared" si="25"/>
        <v>64</v>
      </c>
      <c r="K70" s="129">
        <f t="shared" si="3"/>
        <v>0</v>
      </c>
      <c r="L70" s="125">
        <f t="shared" si="26"/>
        <v>0</v>
      </c>
      <c r="M70" s="129">
        <f t="shared" si="4"/>
        <v>0</v>
      </c>
      <c r="N70" s="129">
        <f t="shared" si="27"/>
        <v>0</v>
      </c>
      <c r="O70" s="180">
        <f t="shared" si="28"/>
        <v>0</v>
      </c>
      <c r="P70"/>
      <c r="Q70" s="124">
        <f t="shared" si="5"/>
        <v>43</v>
      </c>
      <c r="R70" s="125">
        <f t="shared" si="6"/>
        <v>65</v>
      </c>
      <c r="S70" s="125">
        <f t="shared" si="7"/>
        <v>0</v>
      </c>
      <c r="T70" s="126">
        <f t="shared" si="48"/>
        <v>0.1</v>
      </c>
      <c r="U70" s="125">
        <f t="shared" si="8"/>
        <v>0</v>
      </c>
      <c r="V70" s="125">
        <f t="shared" si="29"/>
        <v>12333.55173352884</v>
      </c>
      <c r="W70" s="125">
        <f t="shared" si="30"/>
        <v>0</v>
      </c>
      <c r="X70" s="87">
        <f t="shared" si="31"/>
        <v>493.3420693411536</v>
      </c>
      <c r="Y70" s="128">
        <f t="shared" si="32"/>
        <v>12826.893802869994</v>
      </c>
      <c r="Z70"/>
      <c r="AA70" s="124">
        <f t="shared" si="9"/>
        <v>43</v>
      </c>
      <c r="AB70" s="125">
        <f t="shared" si="10"/>
        <v>65</v>
      </c>
      <c r="AC70" s="125">
        <f t="shared" si="11"/>
        <v>0</v>
      </c>
      <c r="AD70" s="126">
        <f t="shared" si="49"/>
        <v>0.15</v>
      </c>
      <c r="AE70" s="125">
        <f t="shared" si="12"/>
        <v>0</v>
      </c>
      <c r="AF70" s="125">
        <f t="shared" si="33"/>
        <v>0</v>
      </c>
      <c r="AG70" s="125">
        <f t="shared" si="34"/>
        <v>0</v>
      </c>
      <c r="AH70" s="125">
        <f t="shared" si="13"/>
        <v>0</v>
      </c>
      <c r="AI70" s="128">
        <f t="shared" si="35"/>
        <v>0</v>
      </c>
      <c r="AK70" s="124">
        <f t="shared" si="36"/>
        <v>43</v>
      </c>
      <c r="AL70" s="125">
        <f t="shared" si="36"/>
        <v>65</v>
      </c>
      <c r="AM70" s="52">
        <v>0</v>
      </c>
      <c r="AN70" s="126">
        <f t="shared" si="15"/>
        <v>0</v>
      </c>
      <c r="AO70" s="126">
        <f t="shared" si="16"/>
        <v>0</v>
      </c>
      <c r="AP70" s="207">
        <f t="shared" si="37"/>
        <v>0</v>
      </c>
      <c r="AQ70" s="125">
        <f t="shared" si="38"/>
        <v>64751.146601026434</v>
      </c>
      <c r="AR70" s="52">
        <f t="shared" si="39"/>
        <v>0</v>
      </c>
      <c r="AS70" s="48">
        <f t="shared" si="40"/>
        <v>2590.0458640410575</v>
      </c>
      <c r="AT70" s="128">
        <f t="shared" si="41"/>
        <v>67341.192465067492</v>
      </c>
      <c r="AU70"/>
      <c r="AV70" s="124">
        <f t="shared" si="51"/>
        <v>43</v>
      </c>
      <c r="AW70" s="125">
        <f t="shared" si="51"/>
        <v>65</v>
      </c>
      <c r="AX70" s="183">
        <v>0</v>
      </c>
      <c r="AY70" s="126">
        <f t="shared" si="18"/>
        <v>0</v>
      </c>
      <c r="AZ70" s="126">
        <f t="shared" si="19"/>
        <v>0</v>
      </c>
      <c r="BA70" s="207">
        <f t="shared" si="42"/>
        <v>0</v>
      </c>
      <c r="BB70" s="125">
        <f t="shared" si="43"/>
        <v>64751.146601026434</v>
      </c>
      <c r="BC70" s="48">
        <f t="shared" si="44"/>
        <v>0</v>
      </c>
      <c r="BD70" s="48">
        <f t="shared" si="45"/>
        <v>2590.0458640410575</v>
      </c>
      <c r="BE70" s="128">
        <f t="shared" si="46"/>
        <v>67341.192465067492</v>
      </c>
      <c r="BG70"/>
    </row>
    <row r="71" spans="2:59" ht="15.75" thickTop="1" thickBot="1">
      <c r="B71" s="124">
        <f t="shared" si="52"/>
        <v>44</v>
      </c>
      <c r="C71" s="125">
        <f t="shared" si="52"/>
        <v>65</v>
      </c>
      <c r="D71" s="185">
        <f t="shared" si="47"/>
        <v>1</v>
      </c>
      <c r="E71" s="48">
        <f t="shared" si="21"/>
        <v>0</v>
      </c>
      <c r="F71" s="205">
        <f t="shared" si="22"/>
        <v>0</v>
      </c>
      <c r="G71" s="192">
        <f t="shared" si="23"/>
        <v>0</v>
      </c>
      <c r="I71" s="58">
        <f t="shared" si="24"/>
        <v>44</v>
      </c>
      <c r="J71" s="74">
        <f t="shared" si="25"/>
        <v>65</v>
      </c>
      <c r="K71" s="74">
        <f t="shared" si="3"/>
        <v>0</v>
      </c>
      <c r="L71" s="52">
        <f t="shared" si="26"/>
        <v>0</v>
      </c>
      <c r="M71" s="74">
        <f t="shared" si="4"/>
        <v>0</v>
      </c>
      <c r="N71" s="74">
        <f t="shared" si="27"/>
        <v>0</v>
      </c>
      <c r="O71" s="180">
        <f t="shared" si="28"/>
        <v>0</v>
      </c>
      <c r="Q71" s="58">
        <f t="shared" si="5"/>
        <v>44</v>
      </c>
      <c r="R71" s="52">
        <f t="shared" si="6"/>
        <v>66</v>
      </c>
      <c r="S71" s="52">
        <f t="shared" si="7"/>
        <v>0</v>
      </c>
      <c r="T71" s="54">
        <f t="shared" si="48"/>
        <v>0.1</v>
      </c>
      <c r="U71" s="52">
        <f t="shared" si="8"/>
        <v>0</v>
      </c>
      <c r="V71" s="52">
        <f t="shared" si="29"/>
        <v>12826.893802869994</v>
      </c>
      <c r="W71" s="52">
        <f t="shared" si="30"/>
        <v>0</v>
      </c>
      <c r="X71" s="87">
        <f t="shared" si="31"/>
        <v>513.0757521147998</v>
      </c>
      <c r="Y71" s="53">
        <f t="shared" si="32"/>
        <v>13339.969554984793</v>
      </c>
      <c r="AA71" s="58">
        <f t="shared" si="9"/>
        <v>44</v>
      </c>
      <c r="AB71" s="52">
        <f t="shared" si="10"/>
        <v>66</v>
      </c>
      <c r="AC71" s="52">
        <f t="shared" si="11"/>
        <v>0</v>
      </c>
      <c r="AD71" s="54">
        <f t="shared" si="49"/>
        <v>0.15</v>
      </c>
      <c r="AE71" s="52">
        <f t="shared" si="12"/>
        <v>0</v>
      </c>
      <c r="AF71" s="52">
        <f t="shared" si="33"/>
        <v>0</v>
      </c>
      <c r="AG71" s="52">
        <f t="shared" si="34"/>
        <v>0</v>
      </c>
      <c r="AH71" s="52">
        <f t="shared" si="13"/>
        <v>0</v>
      </c>
      <c r="AI71" s="53">
        <f t="shared" si="35"/>
        <v>0</v>
      </c>
      <c r="AK71" s="58">
        <f t="shared" si="36"/>
        <v>44</v>
      </c>
      <c r="AL71" s="52">
        <f t="shared" si="36"/>
        <v>66</v>
      </c>
      <c r="AM71" s="52">
        <v>0</v>
      </c>
      <c r="AN71" s="54">
        <f t="shared" si="15"/>
        <v>0</v>
      </c>
      <c r="AO71" s="54">
        <f t="shared" si="16"/>
        <v>0</v>
      </c>
      <c r="AP71" s="207">
        <f t="shared" si="37"/>
        <v>0</v>
      </c>
      <c r="AQ71" s="52">
        <f t="shared" si="38"/>
        <v>67341.192465067492</v>
      </c>
      <c r="AR71" s="52">
        <f t="shared" si="39"/>
        <v>0</v>
      </c>
      <c r="AS71" s="48">
        <f t="shared" si="40"/>
        <v>2693.6476986026996</v>
      </c>
      <c r="AT71" s="53">
        <f t="shared" si="41"/>
        <v>70034.840163670189</v>
      </c>
      <c r="AV71" s="58">
        <f t="shared" si="51"/>
        <v>44</v>
      </c>
      <c r="AW71" s="52">
        <f t="shared" si="51"/>
        <v>66</v>
      </c>
      <c r="AX71" s="183">
        <v>0</v>
      </c>
      <c r="AY71" s="54">
        <f t="shared" si="18"/>
        <v>0</v>
      </c>
      <c r="AZ71" s="54">
        <f t="shared" si="19"/>
        <v>0</v>
      </c>
      <c r="BA71" s="207">
        <f t="shared" si="42"/>
        <v>0</v>
      </c>
      <c r="BB71" s="52">
        <f t="shared" si="43"/>
        <v>67341.192465067492</v>
      </c>
      <c r="BC71" s="48">
        <f t="shared" si="44"/>
        <v>0</v>
      </c>
      <c r="BD71" s="48">
        <f t="shared" si="45"/>
        <v>2693.6476986026996</v>
      </c>
      <c r="BE71" s="53">
        <f t="shared" si="46"/>
        <v>70034.840163670189</v>
      </c>
    </row>
    <row r="72" spans="2:59" ht="15.75" thickTop="1" thickBot="1">
      <c r="B72" s="58">
        <f t="shared" si="52"/>
        <v>45</v>
      </c>
      <c r="C72" s="52">
        <f t="shared" si="52"/>
        <v>66</v>
      </c>
      <c r="D72" s="185">
        <f t="shared" si="47"/>
        <v>1</v>
      </c>
      <c r="E72" s="48">
        <f t="shared" si="21"/>
        <v>0</v>
      </c>
      <c r="F72" s="205">
        <f t="shared" si="22"/>
        <v>0</v>
      </c>
      <c r="G72" s="192">
        <f t="shared" si="23"/>
        <v>0</v>
      </c>
      <c r="I72" s="58">
        <f t="shared" si="24"/>
        <v>45</v>
      </c>
      <c r="J72" s="74">
        <f t="shared" si="25"/>
        <v>66</v>
      </c>
      <c r="K72" s="74">
        <f t="shared" si="3"/>
        <v>0</v>
      </c>
      <c r="L72" s="52">
        <f t="shared" si="26"/>
        <v>0</v>
      </c>
      <c r="M72" s="74">
        <f t="shared" si="4"/>
        <v>0</v>
      </c>
      <c r="N72" s="74">
        <f t="shared" si="27"/>
        <v>0</v>
      </c>
      <c r="O72" s="180">
        <f t="shared" si="28"/>
        <v>0</v>
      </c>
      <c r="Q72" s="58">
        <f t="shared" si="5"/>
        <v>45</v>
      </c>
      <c r="R72" s="52">
        <f t="shared" si="6"/>
        <v>67</v>
      </c>
      <c r="S72" s="52">
        <f t="shared" si="7"/>
        <v>0</v>
      </c>
      <c r="T72" s="54">
        <f t="shared" si="48"/>
        <v>0.1</v>
      </c>
      <c r="U72" s="52">
        <f t="shared" si="8"/>
        <v>0</v>
      </c>
      <c r="V72" s="52">
        <f t="shared" si="29"/>
        <v>13339.969554984793</v>
      </c>
      <c r="W72" s="52">
        <f t="shared" si="30"/>
        <v>0</v>
      </c>
      <c r="X72" s="87">
        <f t="shared" si="31"/>
        <v>533.59878219939174</v>
      </c>
      <c r="Y72" s="53">
        <f t="shared" si="32"/>
        <v>13873.568337184184</v>
      </c>
      <c r="AA72" s="58">
        <f t="shared" si="9"/>
        <v>45</v>
      </c>
      <c r="AB72" s="52">
        <f t="shared" si="10"/>
        <v>67</v>
      </c>
      <c r="AC72" s="52">
        <f t="shared" si="11"/>
        <v>0</v>
      </c>
      <c r="AD72" s="54">
        <f t="shared" si="49"/>
        <v>0.15</v>
      </c>
      <c r="AE72" s="52">
        <f t="shared" si="12"/>
        <v>0</v>
      </c>
      <c r="AF72" s="52">
        <f t="shared" si="33"/>
        <v>0</v>
      </c>
      <c r="AG72" s="52">
        <f t="shared" si="34"/>
        <v>0</v>
      </c>
      <c r="AH72" s="52">
        <f t="shared" si="13"/>
        <v>0</v>
      </c>
      <c r="AI72" s="53">
        <f t="shared" si="35"/>
        <v>0</v>
      </c>
      <c r="AK72" s="58">
        <f t="shared" si="36"/>
        <v>45</v>
      </c>
      <c r="AL72" s="52">
        <f t="shared" si="36"/>
        <v>67</v>
      </c>
      <c r="AM72" s="52">
        <v>0</v>
      </c>
      <c r="AN72" s="54">
        <f t="shared" si="15"/>
        <v>0</v>
      </c>
      <c r="AO72" s="54">
        <f t="shared" si="16"/>
        <v>0</v>
      </c>
      <c r="AP72" s="207">
        <f t="shared" si="37"/>
        <v>0</v>
      </c>
      <c r="AQ72" s="52">
        <f t="shared" si="38"/>
        <v>70034.840163670189</v>
      </c>
      <c r="AR72" s="52">
        <f t="shared" si="39"/>
        <v>0</v>
      </c>
      <c r="AS72" s="48">
        <f t="shared" si="40"/>
        <v>2801.3936065468074</v>
      </c>
      <c r="AT72" s="53">
        <f t="shared" si="41"/>
        <v>72836.23377021699</v>
      </c>
      <c r="AV72" s="58">
        <f t="shared" si="51"/>
        <v>45</v>
      </c>
      <c r="AW72" s="52">
        <f t="shared" si="51"/>
        <v>67</v>
      </c>
      <c r="AX72" s="183">
        <v>0</v>
      </c>
      <c r="AY72" s="54">
        <f t="shared" si="18"/>
        <v>0</v>
      </c>
      <c r="AZ72" s="54">
        <f t="shared" si="19"/>
        <v>0</v>
      </c>
      <c r="BA72" s="207">
        <f t="shared" si="42"/>
        <v>0</v>
      </c>
      <c r="BB72" s="52">
        <f t="shared" si="43"/>
        <v>70034.840163670189</v>
      </c>
      <c r="BC72" s="48">
        <f t="shared" si="44"/>
        <v>0</v>
      </c>
      <c r="BD72" s="48">
        <f t="shared" si="45"/>
        <v>2801.3936065468074</v>
      </c>
      <c r="BE72" s="53">
        <f t="shared" si="46"/>
        <v>72836.23377021699</v>
      </c>
    </row>
    <row r="73" spans="2:59" ht="15.75" thickTop="1" thickBot="1">
      <c r="B73" s="58">
        <f t="shared" si="52"/>
        <v>46</v>
      </c>
      <c r="C73" s="52">
        <f t="shared" si="52"/>
        <v>67</v>
      </c>
      <c r="D73" s="185">
        <f t="shared" si="47"/>
        <v>1</v>
      </c>
      <c r="E73" s="48">
        <f t="shared" si="21"/>
        <v>0</v>
      </c>
      <c r="F73" s="205">
        <f t="shared" si="22"/>
        <v>0</v>
      </c>
      <c r="G73" s="192">
        <f t="shared" si="23"/>
        <v>0</v>
      </c>
      <c r="I73" s="58">
        <f t="shared" si="24"/>
        <v>46</v>
      </c>
      <c r="J73" s="74">
        <f t="shared" si="25"/>
        <v>67</v>
      </c>
      <c r="K73" s="74">
        <f t="shared" si="3"/>
        <v>0</v>
      </c>
      <c r="L73" s="52">
        <f t="shared" si="26"/>
        <v>0</v>
      </c>
      <c r="M73" s="74">
        <f t="shared" si="4"/>
        <v>0</v>
      </c>
      <c r="N73" s="74">
        <f t="shared" si="27"/>
        <v>0</v>
      </c>
      <c r="O73" s="180">
        <f t="shared" si="28"/>
        <v>0</v>
      </c>
      <c r="Q73" s="58">
        <f t="shared" si="5"/>
        <v>46</v>
      </c>
      <c r="R73" s="52">
        <f t="shared" si="6"/>
        <v>68</v>
      </c>
      <c r="S73" s="52">
        <f t="shared" si="7"/>
        <v>0</v>
      </c>
      <c r="T73" s="54">
        <f t="shared" si="48"/>
        <v>0.1</v>
      </c>
      <c r="U73" s="52">
        <f t="shared" si="8"/>
        <v>0</v>
      </c>
      <c r="V73" s="52">
        <f t="shared" si="29"/>
        <v>13873.568337184184</v>
      </c>
      <c r="W73" s="52">
        <f t="shared" si="30"/>
        <v>0</v>
      </c>
      <c r="X73" s="87">
        <f t="shared" si="31"/>
        <v>554.94273348736738</v>
      </c>
      <c r="Y73" s="53">
        <f t="shared" si="32"/>
        <v>14428.511070671551</v>
      </c>
      <c r="AA73" s="58">
        <f t="shared" si="9"/>
        <v>46</v>
      </c>
      <c r="AB73" s="52">
        <f t="shared" si="10"/>
        <v>68</v>
      </c>
      <c r="AC73" s="52">
        <f t="shared" si="11"/>
        <v>0</v>
      </c>
      <c r="AD73" s="54">
        <f t="shared" si="49"/>
        <v>0.15</v>
      </c>
      <c r="AE73" s="52">
        <f t="shared" si="12"/>
        <v>0</v>
      </c>
      <c r="AF73" s="52">
        <f t="shared" si="33"/>
        <v>0</v>
      </c>
      <c r="AG73" s="52">
        <f t="shared" si="34"/>
        <v>0</v>
      </c>
      <c r="AH73" s="52">
        <f t="shared" si="13"/>
        <v>0</v>
      </c>
      <c r="AI73" s="53">
        <f t="shared" si="35"/>
        <v>0</v>
      </c>
      <c r="AK73" s="58">
        <f t="shared" si="36"/>
        <v>46</v>
      </c>
      <c r="AL73" s="52">
        <f t="shared" si="36"/>
        <v>68</v>
      </c>
      <c r="AM73" s="52">
        <v>0</v>
      </c>
      <c r="AN73" s="54">
        <f t="shared" si="15"/>
        <v>0</v>
      </c>
      <c r="AO73" s="54">
        <f t="shared" si="16"/>
        <v>0</v>
      </c>
      <c r="AP73" s="207">
        <f t="shared" si="37"/>
        <v>0</v>
      </c>
      <c r="AQ73" s="52">
        <f t="shared" si="38"/>
        <v>72836.23377021699</v>
      </c>
      <c r="AR73" s="52">
        <f t="shared" si="39"/>
        <v>0</v>
      </c>
      <c r="AS73" s="48">
        <f t="shared" si="40"/>
        <v>2913.4493508086798</v>
      </c>
      <c r="AT73" s="53">
        <f t="shared" si="41"/>
        <v>75749.683121025664</v>
      </c>
      <c r="AV73" s="58">
        <f t="shared" si="51"/>
        <v>46</v>
      </c>
      <c r="AW73" s="52">
        <f t="shared" si="51"/>
        <v>68</v>
      </c>
      <c r="AX73" s="183">
        <v>0</v>
      </c>
      <c r="AY73" s="54">
        <f t="shared" si="18"/>
        <v>0</v>
      </c>
      <c r="AZ73" s="54">
        <f t="shared" si="19"/>
        <v>0</v>
      </c>
      <c r="BA73" s="207">
        <f t="shared" si="42"/>
        <v>0</v>
      </c>
      <c r="BB73" s="52">
        <f t="shared" si="43"/>
        <v>72836.23377021699</v>
      </c>
      <c r="BC73" s="48">
        <f t="shared" si="44"/>
        <v>0</v>
      </c>
      <c r="BD73" s="48">
        <f t="shared" si="45"/>
        <v>2913.4493508086798</v>
      </c>
      <c r="BE73" s="53">
        <f t="shared" si="46"/>
        <v>75749.683121025664</v>
      </c>
    </row>
    <row r="74" spans="2:59" ht="15.75" thickTop="1" thickBot="1">
      <c r="B74" s="58">
        <f t="shared" si="52"/>
        <v>47</v>
      </c>
      <c r="C74" s="52">
        <f t="shared" si="52"/>
        <v>68</v>
      </c>
      <c r="D74" s="185">
        <f t="shared" si="47"/>
        <v>1</v>
      </c>
      <c r="E74" s="48">
        <f t="shared" si="21"/>
        <v>0</v>
      </c>
      <c r="F74" s="205">
        <f t="shared" si="22"/>
        <v>0</v>
      </c>
      <c r="G74" s="192">
        <f t="shared" si="23"/>
        <v>0</v>
      </c>
      <c r="I74" s="58">
        <f t="shared" si="24"/>
        <v>47</v>
      </c>
      <c r="J74" s="74">
        <f t="shared" si="25"/>
        <v>68</v>
      </c>
      <c r="K74" s="74">
        <f t="shared" si="3"/>
        <v>0</v>
      </c>
      <c r="L74" s="52">
        <f t="shared" si="26"/>
        <v>0</v>
      </c>
      <c r="M74" s="74">
        <f t="shared" si="4"/>
        <v>0</v>
      </c>
      <c r="N74" s="74">
        <f t="shared" si="27"/>
        <v>0</v>
      </c>
      <c r="O74" s="180">
        <f t="shared" si="28"/>
        <v>0</v>
      </c>
      <c r="Q74" s="58">
        <f t="shared" si="5"/>
        <v>47</v>
      </c>
      <c r="R74" s="52">
        <f t="shared" si="6"/>
        <v>69</v>
      </c>
      <c r="S74" s="52">
        <f t="shared" si="7"/>
        <v>0</v>
      </c>
      <c r="T74" s="54">
        <f t="shared" si="48"/>
        <v>0.1</v>
      </c>
      <c r="U74" s="52">
        <f t="shared" si="8"/>
        <v>0</v>
      </c>
      <c r="V74" s="52">
        <f t="shared" si="29"/>
        <v>14428.511070671551</v>
      </c>
      <c r="W74" s="52">
        <f t="shared" si="30"/>
        <v>0</v>
      </c>
      <c r="X74" s="87">
        <f t="shared" si="31"/>
        <v>577.14044282686211</v>
      </c>
      <c r="Y74" s="53">
        <f t="shared" si="32"/>
        <v>15005.651513498413</v>
      </c>
      <c r="AA74" s="58">
        <f t="shared" si="9"/>
        <v>47</v>
      </c>
      <c r="AB74" s="52">
        <f t="shared" si="10"/>
        <v>69</v>
      </c>
      <c r="AC74" s="52">
        <f t="shared" si="11"/>
        <v>0</v>
      </c>
      <c r="AD74" s="54">
        <f t="shared" si="49"/>
        <v>0.15</v>
      </c>
      <c r="AE74" s="52">
        <f t="shared" si="12"/>
        <v>0</v>
      </c>
      <c r="AF74" s="52">
        <f t="shared" si="33"/>
        <v>0</v>
      </c>
      <c r="AG74" s="52">
        <f t="shared" si="34"/>
        <v>0</v>
      </c>
      <c r="AH74" s="52">
        <f t="shared" si="13"/>
        <v>0</v>
      </c>
      <c r="AI74" s="53">
        <f t="shared" si="35"/>
        <v>0</v>
      </c>
      <c r="AK74" s="58">
        <f t="shared" si="36"/>
        <v>47</v>
      </c>
      <c r="AL74" s="52">
        <f t="shared" si="36"/>
        <v>69</v>
      </c>
      <c r="AM74" s="52">
        <v>0</v>
      </c>
      <c r="AN74" s="54">
        <f t="shared" si="15"/>
        <v>0</v>
      </c>
      <c r="AO74" s="54">
        <f t="shared" si="16"/>
        <v>0</v>
      </c>
      <c r="AP74" s="207">
        <f t="shared" si="37"/>
        <v>0</v>
      </c>
      <c r="AQ74" s="52">
        <f t="shared" si="38"/>
        <v>75749.683121025664</v>
      </c>
      <c r="AR74" s="52">
        <f t="shared" si="39"/>
        <v>0</v>
      </c>
      <c r="AS74" s="48">
        <f t="shared" si="40"/>
        <v>3029.9873248410267</v>
      </c>
      <c r="AT74" s="53">
        <f t="shared" si="41"/>
        <v>78779.670445866694</v>
      </c>
      <c r="AV74" s="58">
        <f t="shared" si="51"/>
        <v>47</v>
      </c>
      <c r="AW74" s="52">
        <f t="shared" si="51"/>
        <v>69</v>
      </c>
      <c r="AX74" s="183">
        <v>0</v>
      </c>
      <c r="AY74" s="54">
        <f t="shared" si="18"/>
        <v>0</v>
      </c>
      <c r="AZ74" s="54">
        <f t="shared" si="19"/>
        <v>0</v>
      </c>
      <c r="BA74" s="207">
        <f t="shared" si="42"/>
        <v>0</v>
      </c>
      <c r="BB74" s="52">
        <f t="shared" si="43"/>
        <v>75749.683121025664</v>
      </c>
      <c r="BC74" s="48">
        <f t="shared" si="44"/>
        <v>0</v>
      </c>
      <c r="BD74" s="48">
        <f t="shared" si="45"/>
        <v>3029.9873248410267</v>
      </c>
      <c r="BE74" s="53">
        <f t="shared" si="46"/>
        <v>78779.670445866694</v>
      </c>
    </row>
    <row r="75" spans="2:59" ht="15.75" thickTop="1" thickBot="1">
      <c r="B75" s="58">
        <f t="shared" si="52"/>
        <v>48</v>
      </c>
      <c r="C75" s="52">
        <f t="shared" si="52"/>
        <v>69</v>
      </c>
      <c r="D75" s="185">
        <f t="shared" si="47"/>
        <v>1</v>
      </c>
      <c r="E75" s="48">
        <f t="shared" si="21"/>
        <v>0</v>
      </c>
      <c r="F75" s="205">
        <f t="shared" si="22"/>
        <v>0</v>
      </c>
      <c r="G75" s="192">
        <f t="shared" si="23"/>
        <v>0</v>
      </c>
      <c r="I75" s="58">
        <f t="shared" si="24"/>
        <v>48</v>
      </c>
      <c r="J75" s="74">
        <f t="shared" si="25"/>
        <v>69</v>
      </c>
      <c r="K75" s="74">
        <f t="shared" si="3"/>
        <v>0</v>
      </c>
      <c r="L75" s="52">
        <f t="shared" si="26"/>
        <v>0</v>
      </c>
      <c r="M75" s="74">
        <f t="shared" si="4"/>
        <v>0</v>
      </c>
      <c r="N75" s="74">
        <f t="shared" si="27"/>
        <v>0</v>
      </c>
      <c r="O75" s="180">
        <f t="shared" si="28"/>
        <v>0</v>
      </c>
      <c r="Q75" s="58">
        <f t="shared" si="5"/>
        <v>48</v>
      </c>
      <c r="R75" s="52">
        <f t="shared" si="6"/>
        <v>70</v>
      </c>
      <c r="S75" s="52">
        <f t="shared" si="7"/>
        <v>0</v>
      </c>
      <c r="T75" s="54">
        <f t="shared" si="48"/>
        <v>0.1</v>
      </c>
      <c r="U75" s="52">
        <f t="shared" si="8"/>
        <v>0</v>
      </c>
      <c r="V75" s="52">
        <f t="shared" si="29"/>
        <v>15005.651513498413</v>
      </c>
      <c r="W75" s="52">
        <f t="shared" si="30"/>
        <v>0</v>
      </c>
      <c r="X75" s="87">
        <f t="shared" si="31"/>
        <v>600.2260605399365</v>
      </c>
      <c r="Y75" s="53">
        <f t="shared" si="32"/>
        <v>15605.87757403835</v>
      </c>
      <c r="AA75" s="58">
        <f t="shared" si="9"/>
        <v>48</v>
      </c>
      <c r="AB75" s="52">
        <f t="shared" si="10"/>
        <v>70</v>
      </c>
      <c r="AC75" s="52">
        <f t="shared" si="11"/>
        <v>0</v>
      </c>
      <c r="AD75" s="54">
        <f t="shared" si="49"/>
        <v>0.15</v>
      </c>
      <c r="AE75" s="52">
        <f t="shared" si="12"/>
        <v>0</v>
      </c>
      <c r="AF75" s="52">
        <f t="shared" si="33"/>
        <v>0</v>
      </c>
      <c r="AG75" s="52">
        <f t="shared" si="34"/>
        <v>0</v>
      </c>
      <c r="AH75" s="52">
        <f t="shared" si="13"/>
        <v>0</v>
      </c>
      <c r="AI75" s="53">
        <f t="shared" si="35"/>
        <v>0</v>
      </c>
      <c r="AK75" s="58">
        <f t="shared" si="36"/>
        <v>48</v>
      </c>
      <c r="AL75" s="52">
        <f t="shared" si="36"/>
        <v>70</v>
      </c>
      <c r="AM75" s="52">
        <v>0</v>
      </c>
      <c r="AN75" s="54">
        <f t="shared" si="15"/>
        <v>0</v>
      </c>
      <c r="AO75" s="54">
        <f t="shared" si="16"/>
        <v>0</v>
      </c>
      <c r="AP75" s="207">
        <f t="shared" si="37"/>
        <v>0</v>
      </c>
      <c r="AQ75" s="52">
        <f t="shared" si="38"/>
        <v>78779.670445866694</v>
      </c>
      <c r="AR75" s="52">
        <f t="shared" si="39"/>
        <v>0</v>
      </c>
      <c r="AS75" s="48">
        <f t="shared" si="40"/>
        <v>3151.1868178346676</v>
      </c>
      <c r="AT75" s="53">
        <f t="shared" si="41"/>
        <v>81930.857263701357</v>
      </c>
      <c r="AV75" s="58">
        <f t="shared" si="51"/>
        <v>48</v>
      </c>
      <c r="AW75" s="52">
        <f t="shared" si="51"/>
        <v>70</v>
      </c>
      <c r="AX75" s="183">
        <v>0</v>
      </c>
      <c r="AY75" s="54">
        <f t="shared" si="18"/>
        <v>0</v>
      </c>
      <c r="AZ75" s="54">
        <f t="shared" si="19"/>
        <v>0</v>
      </c>
      <c r="BA75" s="207">
        <f t="shared" si="42"/>
        <v>0</v>
      </c>
      <c r="BB75" s="52">
        <f t="shared" si="43"/>
        <v>78779.670445866694</v>
      </c>
      <c r="BC75" s="48">
        <f t="shared" si="44"/>
        <v>0</v>
      </c>
      <c r="BD75" s="48">
        <f t="shared" si="45"/>
        <v>3151.1868178346676</v>
      </c>
      <c r="BE75" s="53">
        <f t="shared" si="46"/>
        <v>81930.857263701357</v>
      </c>
    </row>
    <row r="76" spans="2:59" ht="15.75" thickTop="1" thickBot="1">
      <c r="B76" s="59">
        <f t="shared" si="52"/>
        <v>49</v>
      </c>
      <c r="C76" s="55">
        <f t="shared" si="52"/>
        <v>70</v>
      </c>
      <c r="D76" s="185">
        <f t="shared" si="47"/>
        <v>1</v>
      </c>
      <c r="E76" s="48">
        <f t="shared" si="21"/>
        <v>0</v>
      </c>
      <c r="F76" s="205">
        <f t="shared" si="22"/>
        <v>0</v>
      </c>
      <c r="G76" s="192">
        <f t="shared" si="23"/>
        <v>0</v>
      </c>
      <c r="I76" s="59">
        <f t="shared" si="24"/>
        <v>49</v>
      </c>
      <c r="J76" s="76">
        <f t="shared" si="25"/>
        <v>70</v>
      </c>
      <c r="K76" s="76">
        <f t="shared" si="3"/>
        <v>0</v>
      </c>
      <c r="L76" s="55">
        <f t="shared" si="26"/>
        <v>0</v>
      </c>
      <c r="M76" s="76">
        <f t="shared" si="4"/>
        <v>0</v>
      </c>
      <c r="N76" s="76">
        <f t="shared" si="27"/>
        <v>0</v>
      </c>
      <c r="O76" s="181">
        <f t="shared" si="28"/>
        <v>0</v>
      </c>
      <c r="Q76" s="59">
        <f t="shared" si="5"/>
        <v>49</v>
      </c>
      <c r="R76" s="67">
        <f t="shared" si="6"/>
        <v>71</v>
      </c>
      <c r="S76" s="67">
        <f t="shared" si="7"/>
        <v>0</v>
      </c>
      <c r="T76" s="68">
        <f t="shared" si="48"/>
        <v>0.1</v>
      </c>
      <c r="U76" s="67">
        <f t="shared" si="8"/>
        <v>0</v>
      </c>
      <c r="V76" s="67">
        <f t="shared" si="29"/>
        <v>15605.87757403835</v>
      </c>
      <c r="W76" s="67">
        <f t="shared" si="30"/>
        <v>0</v>
      </c>
      <c r="X76" s="87">
        <f t="shared" si="31"/>
        <v>624.23510296153404</v>
      </c>
      <c r="Y76" s="70">
        <f t="shared" si="32"/>
        <v>16230.112676999885</v>
      </c>
      <c r="AA76" s="59">
        <f t="shared" si="9"/>
        <v>49</v>
      </c>
      <c r="AB76" s="67">
        <f t="shared" si="10"/>
        <v>71</v>
      </c>
      <c r="AC76" s="67">
        <f t="shared" si="11"/>
        <v>0</v>
      </c>
      <c r="AD76" s="68">
        <f t="shared" si="49"/>
        <v>0.15</v>
      </c>
      <c r="AE76" s="67">
        <f t="shared" si="12"/>
        <v>0</v>
      </c>
      <c r="AF76" s="67">
        <f t="shared" si="33"/>
        <v>0</v>
      </c>
      <c r="AG76" s="67">
        <f t="shared" si="34"/>
        <v>0</v>
      </c>
      <c r="AH76" s="67">
        <f t="shared" si="13"/>
        <v>0</v>
      </c>
      <c r="AI76" s="69">
        <f t="shared" si="35"/>
        <v>0</v>
      </c>
      <c r="AK76" s="59">
        <f t="shared" si="36"/>
        <v>49</v>
      </c>
      <c r="AL76" s="67">
        <f t="shared" si="36"/>
        <v>71</v>
      </c>
      <c r="AM76" s="52">
        <v>0</v>
      </c>
      <c r="AN76" s="68">
        <f t="shared" si="15"/>
        <v>0</v>
      </c>
      <c r="AO76" s="68">
        <f t="shared" si="16"/>
        <v>0</v>
      </c>
      <c r="AP76" s="207">
        <f t="shared" si="37"/>
        <v>0</v>
      </c>
      <c r="AQ76" s="55">
        <f t="shared" si="38"/>
        <v>81930.857263701357</v>
      </c>
      <c r="AR76" s="52">
        <f t="shared" si="39"/>
        <v>0</v>
      </c>
      <c r="AS76" s="48">
        <f t="shared" si="40"/>
        <v>3277.2342905480546</v>
      </c>
      <c r="AT76" s="69">
        <f t="shared" si="41"/>
        <v>85208.091554249404</v>
      </c>
      <c r="AV76" s="59">
        <f t="shared" si="51"/>
        <v>49</v>
      </c>
      <c r="AW76" s="67">
        <f t="shared" si="51"/>
        <v>71</v>
      </c>
      <c r="AX76" s="183">
        <v>0</v>
      </c>
      <c r="AY76" s="68">
        <f t="shared" si="18"/>
        <v>0</v>
      </c>
      <c r="AZ76" s="68">
        <f t="shared" si="19"/>
        <v>0</v>
      </c>
      <c r="BA76" s="207">
        <f t="shared" si="42"/>
        <v>0</v>
      </c>
      <c r="BB76" s="55">
        <f t="shared" si="43"/>
        <v>81930.857263701357</v>
      </c>
      <c r="BC76" s="48">
        <f t="shared" si="44"/>
        <v>0</v>
      </c>
      <c r="BD76" s="48">
        <f t="shared" si="45"/>
        <v>3277.2342905480546</v>
      </c>
      <c r="BE76" s="69">
        <f t="shared" si="46"/>
        <v>85208.091554249404</v>
      </c>
    </row>
    <row r="77" spans="2:59" ht="15" thickTop="1"/>
    <row r="93" spans="2:2">
      <c r="B93" s="20">
        <f>+B92/12</f>
        <v>0</v>
      </c>
    </row>
    <row r="95" spans="2:2">
      <c r="B95" s="20">
        <f ca="1">+B93-BM8</f>
        <v>-4200</v>
      </c>
    </row>
  </sheetData>
  <mergeCells count="17">
    <mergeCell ref="Q25:Y25"/>
    <mergeCell ref="AA25:AI25"/>
    <mergeCell ref="AK25:AT25"/>
    <mergeCell ref="AV25:BE25"/>
    <mergeCell ref="BH11:BK11"/>
    <mergeCell ref="AV24:BE24"/>
    <mergeCell ref="B24:G24"/>
    <mergeCell ref="I24:O24"/>
    <mergeCell ref="Q24:Y24"/>
    <mergeCell ref="AA24:AI24"/>
    <mergeCell ref="AK24:AT24"/>
    <mergeCell ref="BH10:BK10"/>
    <mergeCell ref="Q3:Y3"/>
    <mergeCell ref="AA3:AT3"/>
    <mergeCell ref="I4:O4"/>
    <mergeCell ref="BH8:BK8"/>
    <mergeCell ref="BH9:B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792A-DED6-48EA-ACE5-CCFC28D8C875}">
  <dimension ref="A1:BN95"/>
  <sheetViews>
    <sheetView workbookViewId="0">
      <selection activeCell="F20" sqref="F20"/>
    </sheetView>
  </sheetViews>
  <sheetFormatPr baseColWidth="10" defaultColWidth="11.5" defaultRowHeight="14.25"/>
  <cols>
    <col min="2" max="2" width="14.625" style="20" bestFit="1" customWidth="1"/>
    <col min="3" max="3" width="7.5" style="20" customWidth="1"/>
    <col min="4" max="4" width="10.375" style="20" customWidth="1"/>
    <col min="5" max="5" width="10.5" style="22" bestFit="1" customWidth="1"/>
    <col min="6" max="6" width="11.375" style="22" customWidth="1"/>
    <col min="7" max="7" width="8.875" style="189" bestFit="1" customWidth="1"/>
    <col min="8" max="8" width="9.625" style="194" bestFit="1" customWidth="1"/>
    <col min="9" max="9" width="16.875" customWidth="1"/>
    <col min="10" max="10" width="15.375" bestFit="1" customWidth="1"/>
    <col min="11" max="11" width="21.375" customWidth="1"/>
    <col min="15" max="15" width="10.625" customWidth="1"/>
    <col min="16" max="16" width="3.375" style="194" customWidth="1"/>
    <col min="17" max="17" width="4.625" bestFit="1" customWidth="1"/>
    <col min="18" max="18" width="16.625" customWidth="1"/>
    <col min="19" max="19" width="15.125" customWidth="1"/>
    <col min="20" max="20" width="27.125" bestFit="1" customWidth="1"/>
    <col min="21" max="21" width="15.625" customWidth="1"/>
    <col min="22" max="22" width="16.375" customWidth="1"/>
    <col min="23" max="23" width="15.625" customWidth="1"/>
    <col min="24" max="24" width="12.5" customWidth="1"/>
    <col min="25" max="25" width="15.625" customWidth="1"/>
    <col min="26" max="26" width="3.375" style="194" customWidth="1"/>
    <col min="27" max="27" width="8.5" bestFit="1" customWidth="1"/>
    <col min="28" max="28" width="9" bestFit="1" customWidth="1"/>
    <col min="29" max="29" width="10.625" customWidth="1"/>
    <col min="30" max="30" width="8.625" bestFit="1" customWidth="1"/>
    <col min="31" max="31" width="11.375" bestFit="1" customWidth="1"/>
    <col min="32" max="32" width="13.625" bestFit="1" customWidth="1"/>
    <col min="33" max="33" width="16.375" bestFit="1" customWidth="1"/>
    <col min="34" max="34" width="11" bestFit="1" customWidth="1"/>
    <col min="35" max="35" width="8.625" bestFit="1" customWidth="1"/>
    <col min="36" max="36" width="3.5" customWidth="1"/>
    <col min="37" max="37" width="8.5" bestFit="1" customWidth="1"/>
    <col min="38" max="38" width="9" bestFit="1" customWidth="1"/>
    <col min="39" max="39" width="10.625" customWidth="1"/>
    <col min="40" max="40" width="10.125" bestFit="1" customWidth="1"/>
    <col min="41" max="41" width="10.625" bestFit="1" customWidth="1"/>
    <col min="42" max="42" width="21.5" bestFit="1" customWidth="1"/>
    <col min="43" max="43" width="11.875" bestFit="1" customWidth="1"/>
    <col min="44" max="44" width="9.125" bestFit="1" customWidth="1"/>
    <col min="45" max="45" width="10.125" bestFit="1" customWidth="1"/>
    <col min="46" max="46" width="11.375" customWidth="1"/>
    <col min="47" max="47" width="3.5" style="194" customWidth="1"/>
    <col min="49" max="49" width="10.5" bestFit="1" customWidth="1"/>
    <col min="54" max="54" width="13" bestFit="1" customWidth="1"/>
    <col min="58" max="58" width="6.375" customWidth="1"/>
    <col min="59" max="59" width="8.375" style="1" customWidth="1"/>
    <col min="65" max="65" width="12.5" bestFit="1" customWidth="1"/>
  </cols>
  <sheetData>
    <row r="1" spans="1:66" ht="23.25">
      <c r="B1" s="19" t="s">
        <v>29</v>
      </c>
      <c r="D1"/>
      <c r="E1" s="21"/>
      <c r="F1" s="21"/>
      <c r="G1" s="21"/>
      <c r="BH1" s="172" t="s">
        <v>99</v>
      </c>
      <c r="BI1" s="174"/>
      <c r="BJ1" s="174"/>
      <c r="BK1" s="173"/>
      <c r="BL1" s="173"/>
      <c r="BM1" s="173"/>
      <c r="BN1" s="173"/>
    </row>
    <row r="2" spans="1:66" ht="15">
      <c r="B2" t="s">
        <v>77</v>
      </c>
      <c r="D2"/>
      <c r="E2" s="21"/>
      <c r="F2" s="26">
        <v>1</v>
      </c>
      <c r="G2" s="162"/>
      <c r="BH2" t="s">
        <v>43</v>
      </c>
      <c r="BM2" s="163">
        <f>+SUM(K28:K76)</f>
        <v>300</v>
      </c>
    </row>
    <row r="3" spans="1:66" ht="30">
      <c r="B3" t="s">
        <v>30</v>
      </c>
      <c r="D3"/>
      <c r="E3" s="24"/>
      <c r="F3" s="201" t="str">
        <f>+salidaformulas!B2</f>
        <v>M</v>
      </c>
      <c r="Q3" s="267" t="s">
        <v>186</v>
      </c>
      <c r="R3" s="267"/>
      <c r="S3" s="267"/>
      <c r="T3" s="267"/>
      <c r="U3" s="267"/>
      <c r="V3" s="267"/>
      <c r="W3" s="267"/>
      <c r="X3" s="267"/>
      <c r="Y3" s="267"/>
      <c r="AA3" s="268" t="s">
        <v>187</v>
      </c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BH3" t="s">
        <v>82</v>
      </c>
      <c r="BM3" s="40">
        <f>+IF(BM2&gt;240,BM2-F13,0)</f>
        <v>60</v>
      </c>
    </row>
    <row r="4" spans="1:66" ht="30">
      <c r="B4" t="s">
        <v>31</v>
      </c>
      <c r="D4"/>
      <c r="E4" s="24"/>
      <c r="F4" s="200">
        <f>+salidaformulas!B3</f>
        <v>22</v>
      </c>
      <c r="I4" s="267" t="s">
        <v>185</v>
      </c>
      <c r="J4" s="267"/>
      <c r="K4" s="267"/>
      <c r="L4" s="267"/>
      <c r="M4" s="267"/>
      <c r="N4" s="267"/>
      <c r="O4" s="267"/>
      <c r="BH4" t="s">
        <v>119</v>
      </c>
      <c r="BK4" s="22"/>
      <c r="BL4" s="22"/>
      <c r="BM4" s="155">
        <f>IF(F7&lt;=7,BN4,BN4*AF13)</f>
        <v>0.66249999999999998</v>
      </c>
      <c r="BN4" s="155">
        <f>IF(AND(BM2&gt;=180,BM2&lt;240),($F$14+INT(BM3/12)*$F$15)*BM2/240,IF(BM2&lt;180,0,($F$14+INT(BM3/12)*$F$15)))</f>
        <v>0.66249999999999998</v>
      </c>
    </row>
    <row r="5" spans="1:66" ht="29.25">
      <c r="B5" t="s">
        <v>98</v>
      </c>
      <c r="D5"/>
      <c r="E5" s="24"/>
      <c r="F5" s="26">
        <f>+F4</f>
        <v>22</v>
      </c>
      <c r="J5" s="39" t="s">
        <v>136</v>
      </c>
      <c r="K5" t="s">
        <v>150</v>
      </c>
      <c r="S5" s="39" t="s">
        <v>136</v>
      </c>
      <c r="T5" t="s">
        <v>150</v>
      </c>
      <c r="BH5" s="20" t="s">
        <v>84</v>
      </c>
      <c r="BI5" s="22"/>
      <c r="BJ5" s="22"/>
      <c r="BM5" s="150">
        <f ca="1">+BM6*12</f>
        <v>3478.125</v>
      </c>
    </row>
    <row r="6" spans="1:66" ht="15">
      <c r="B6" s="162" t="s">
        <v>54</v>
      </c>
      <c r="D6"/>
      <c r="E6" s="24"/>
      <c r="F6" s="139">
        <f>+salidaformulas!B4</f>
        <v>62</v>
      </c>
      <c r="I6" t="s">
        <v>137</v>
      </c>
      <c r="J6" t="s">
        <v>149</v>
      </c>
      <c r="K6" t="s">
        <v>151</v>
      </c>
      <c r="R6" t="s">
        <v>137</v>
      </c>
      <c r="S6" t="s">
        <v>149</v>
      </c>
      <c r="T6" t="s">
        <v>151</v>
      </c>
      <c r="BH6" s="20" t="s">
        <v>85</v>
      </c>
      <c r="BI6" s="22"/>
      <c r="BJ6" s="22"/>
      <c r="BK6" s="34"/>
      <c r="BL6" s="34"/>
      <c r="BM6" s="152">
        <f ca="1">IF(BM2&gt;=240,MAX(MAX(BL8:BL10),265),MAX(BL8:BL10))</f>
        <v>289.84375</v>
      </c>
      <c r="BN6" s="140"/>
    </row>
    <row r="7" spans="1:66" ht="15">
      <c r="B7" s="162" t="s">
        <v>184</v>
      </c>
      <c r="D7"/>
      <c r="E7" s="24"/>
      <c r="F7" s="139">
        <f>+F6-F5</f>
        <v>40</v>
      </c>
      <c r="I7">
        <v>1</v>
      </c>
      <c r="J7" s="40">
        <f>LARGE($G$28:$G$65,I7)</f>
        <v>5250</v>
      </c>
      <c r="K7" s="40">
        <f>LARGE($L$28:$L$65,I7)</f>
        <v>3750</v>
      </c>
      <c r="R7">
        <v>1</v>
      </c>
      <c r="S7" s="40">
        <f t="shared" ref="S7:T17" si="0">+J7</f>
        <v>5250</v>
      </c>
      <c r="T7" s="40">
        <f t="shared" si="0"/>
        <v>3750</v>
      </c>
      <c r="BL7" s="143" t="s">
        <v>127</v>
      </c>
      <c r="BM7" s="143" t="s">
        <v>133</v>
      </c>
      <c r="BN7" s="143" t="s">
        <v>132</v>
      </c>
    </row>
    <row r="8" spans="1:66" ht="15">
      <c r="B8" t="s">
        <v>61</v>
      </c>
      <c r="F8" s="28">
        <v>0.15</v>
      </c>
      <c r="I8">
        <v>2</v>
      </c>
      <c r="J8" s="40">
        <f t="shared" ref="J8:J16" si="1">LARGE($G$28:$G$65,I8)</f>
        <v>5250</v>
      </c>
      <c r="K8" s="40">
        <f t="shared" ref="K8:K16" si="2">LARGE($L$28:$L$65,I8)</f>
        <v>3750</v>
      </c>
      <c r="R8">
        <v>2</v>
      </c>
      <c r="S8" s="40">
        <f t="shared" si="0"/>
        <v>5250</v>
      </c>
      <c r="T8" s="40">
        <f t="shared" si="0"/>
        <v>3750</v>
      </c>
      <c r="BH8" s="263" t="s">
        <v>128</v>
      </c>
      <c r="BI8" s="263"/>
      <c r="BJ8" s="263"/>
      <c r="BK8" s="263"/>
      <c r="BL8" s="146">
        <f ca="1">+IF($BM$4*BM8/12&gt;1500,1500,$BM$4*BM8/12)</f>
        <v>289.84375</v>
      </c>
      <c r="BM8" s="150" cm="1">
        <f t="array" aca="1" ref="BM8" ca="1">+AVERAGE(LARGE($G$28:$G$76,ROW(INDIRECT("1:10"))))</f>
        <v>5250</v>
      </c>
    </row>
    <row r="9" spans="1:66" ht="15">
      <c r="B9" t="s">
        <v>60</v>
      </c>
      <c r="F9" s="28">
        <v>0.13500000000000001</v>
      </c>
      <c r="I9">
        <v>3</v>
      </c>
      <c r="J9" s="40">
        <f t="shared" si="1"/>
        <v>5250</v>
      </c>
      <c r="K9" s="40">
        <f t="shared" si="2"/>
        <v>3750</v>
      </c>
      <c r="R9">
        <v>3</v>
      </c>
      <c r="S9" s="40">
        <f t="shared" si="0"/>
        <v>5250</v>
      </c>
      <c r="T9" s="40">
        <f t="shared" si="0"/>
        <v>3750</v>
      </c>
      <c r="BH9" s="266" t="s">
        <v>129</v>
      </c>
      <c r="BI9" s="266"/>
      <c r="BJ9" s="266"/>
      <c r="BK9" s="266"/>
      <c r="BL9" s="131">
        <f ca="1">+IF($BM$4*BM9/12&gt;2000,2000,$BM$4*BM9/12)</f>
        <v>0</v>
      </c>
      <c r="BM9" s="150" cm="1">
        <f t="array" aca="1" ref="BM9" ca="1">IF(AND(BM2&gt;300,AVERAGE(LARGE($G$28:$G$76,ROW(INDIRECT("1:15"))))&gt;=24000),AVERAGE(LARGE($G$28:$G$76,ROW(INDIRECT("1:15")))),0)</f>
        <v>0</v>
      </c>
      <c r="BN9" s="31"/>
    </row>
    <row r="10" spans="1:66" ht="15">
      <c r="B10" t="s">
        <v>62</v>
      </c>
      <c r="D10"/>
      <c r="E10" s="24"/>
      <c r="F10" s="28">
        <v>0.18</v>
      </c>
      <c r="I10">
        <v>4</v>
      </c>
      <c r="J10" s="40">
        <f t="shared" si="1"/>
        <v>5250</v>
      </c>
      <c r="K10" s="40">
        <f t="shared" si="2"/>
        <v>3750</v>
      </c>
      <c r="R10">
        <v>4</v>
      </c>
      <c r="S10" s="40">
        <f t="shared" si="0"/>
        <v>5250</v>
      </c>
      <c r="T10" s="40">
        <f t="shared" si="0"/>
        <v>3750</v>
      </c>
      <c r="AA10" s="29" t="s">
        <v>114</v>
      </c>
      <c r="AB10" s="22"/>
      <c r="AC10" s="22"/>
      <c r="AK10" s="194"/>
      <c r="AL10" s="194"/>
      <c r="AM10" s="194"/>
      <c r="AN10" s="194"/>
      <c r="AO10" s="194"/>
      <c r="AP10" s="194"/>
      <c r="BH10" s="266" t="s">
        <v>130</v>
      </c>
      <c r="BI10" s="266"/>
      <c r="BJ10" s="266"/>
      <c r="BK10" s="266"/>
      <c r="BL10" s="131">
        <f ca="1">+IF($BM$4*BM10/12&gt;2500,2500,$BM$4*BM10/12)</f>
        <v>0</v>
      </c>
      <c r="BM10" s="150" cm="1">
        <f t="array" aca="1" ref="BM10" ca="1">IF(AND(BM2&gt;360,AVERAGE(LARGE($G$28:$G$76,ROW(INDIRECT("1:20"))))&gt;=30000),AVERAGE(LARGE($G$28:$G$76,ROW(INDIRECT("1:20")))),0)</f>
        <v>0</v>
      </c>
    </row>
    <row r="11" spans="1:66" ht="15.75" thickBot="1">
      <c r="B11" t="s">
        <v>55</v>
      </c>
      <c r="D11"/>
      <c r="E11" s="24"/>
      <c r="F11" s="28">
        <v>0.04</v>
      </c>
      <c r="I11">
        <v>5</v>
      </c>
      <c r="J11" s="40">
        <f t="shared" si="1"/>
        <v>5250</v>
      </c>
      <c r="K11" s="40">
        <f t="shared" si="2"/>
        <v>3750</v>
      </c>
      <c r="R11">
        <v>5</v>
      </c>
      <c r="S11" s="40">
        <f t="shared" si="0"/>
        <v>5250</v>
      </c>
      <c r="T11" s="40">
        <f t="shared" si="0"/>
        <v>3750</v>
      </c>
      <c r="AA11" s="30" t="s">
        <v>35</v>
      </c>
      <c r="AB11" s="22"/>
      <c r="AF11" s="60">
        <f>+F6</f>
        <v>62</v>
      </c>
      <c r="AK11" s="198" t="s">
        <v>118</v>
      </c>
      <c r="AL11" s="194"/>
      <c r="AM11" s="194"/>
      <c r="AN11" s="194"/>
      <c r="AO11" s="198" t="s">
        <v>120</v>
      </c>
      <c r="AP11" s="208" t="s">
        <v>140</v>
      </c>
      <c r="BH11" s="266" t="s">
        <v>131</v>
      </c>
      <c r="BI11" s="266"/>
      <c r="BJ11" s="266"/>
      <c r="BK11" s="266"/>
      <c r="BM11" s="154">
        <f ca="1">+BM5/VLOOKUP(MAX(BL8:BL10),BL8:BM10,2,0)</f>
        <v>0.66249999999999998</v>
      </c>
    </row>
    <row r="12" spans="1:66" ht="15.75" thickTop="1">
      <c r="B12" t="s">
        <v>56</v>
      </c>
      <c r="D12"/>
      <c r="E12" s="24"/>
      <c r="F12" s="28">
        <v>0.04</v>
      </c>
      <c r="I12">
        <v>6</v>
      </c>
      <c r="J12" s="40">
        <f t="shared" si="1"/>
        <v>5250</v>
      </c>
      <c r="K12" s="40">
        <f t="shared" si="2"/>
        <v>3750</v>
      </c>
      <c r="R12">
        <v>6</v>
      </c>
      <c r="S12" s="40">
        <f t="shared" si="0"/>
        <v>5250</v>
      </c>
      <c r="T12" s="40">
        <f t="shared" si="0"/>
        <v>3750</v>
      </c>
      <c r="AA12" s="65" t="s">
        <v>73</v>
      </c>
      <c r="AB12" s="22"/>
      <c r="AF12" s="32">
        <f>+VLOOKUP(AF11,$AB$28:$AI$76,8,FALSE)</f>
        <v>0</v>
      </c>
      <c r="AG12" s="143" t="s">
        <v>169</v>
      </c>
      <c r="AK12" s="209" t="s">
        <v>112</v>
      </c>
      <c r="AL12" s="210"/>
      <c r="AM12" s="210"/>
      <c r="AN12" s="210"/>
      <c r="AO12" s="211">
        <f>+L18</f>
        <v>289.84375</v>
      </c>
      <c r="AP12" s="212">
        <f>+AO12/(J16/12)</f>
        <v>0.66249999999999998</v>
      </c>
    </row>
    <row r="13" spans="1:66" ht="15">
      <c r="A13" s="143" t="s">
        <v>153</v>
      </c>
      <c r="B13" t="s">
        <v>57</v>
      </c>
      <c r="D13"/>
      <c r="E13" s="24"/>
      <c r="F13" s="23">
        <v>240</v>
      </c>
      <c r="I13">
        <v>7</v>
      </c>
      <c r="J13" s="40">
        <f t="shared" si="1"/>
        <v>5250</v>
      </c>
      <c r="K13" s="40">
        <f t="shared" si="2"/>
        <v>3750</v>
      </c>
      <c r="R13">
        <v>7</v>
      </c>
      <c r="S13" s="40">
        <f t="shared" si="0"/>
        <v>5250</v>
      </c>
      <c r="T13" s="40">
        <f t="shared" si="0"/>
        <v>3750</v>
      </c>
      <c r="W13" t="s">
        <v>197</v>
      </c>
      <c r="X13" t="s">
        <v>198</v>
      </c>
      <c r="AA13" t="s">
        <v>72</v>
      </c>
      <c r="AF13" s="15">
        <f>+IF(AND($B$20=1,$F$2&lt;&gt;1),100%,IF($F$3="M",VLOOKUP(AF11,descuento!$A$6:$B$32,2,FALSE),VLOOKUP(AF11,descuento!$C$6:$D$32,2,FALSE)))</f>
        <v>1</v>
      </c>
      <c r="AG13" s="15"/>
      <c r="AK13" s="213" t="s">
        <v>113</v>
      </c>
      <c r="AL13" s="194"/>
      <c r="AM13" s="194"/>
      <c r="AN13" s="194"/>
      <c r="AO13" s="214">
        <f>+U22</f>
        <v>280.50019682966536</v>
      </c>
      <c r="AP13" s="215">
        <f>+AO13/(S17/12)</f>
        <v>0.64114330703923506</v>
      </c>
      <c r="AV13" s="65" t="s">
        <v>75</v>
      </c>
      <c r="BB13" s="167">
        <f>+VLOOKUP(AF11,$AW$28:$BE$76,9,FALSE)</f>
        <v>74832.593612502795</v>
      </c>
      <c r="BH13" s="172" t="s">
        <v>106</v>
      </c>
      <c r="BI13" s="173"/>
      <c r="BJ13" s="173"/>
      <c r="BK13" s="173"/>
      <c r="BL13" s="173"/>
      <c r="BM13" s="173"/>
      <c r="BN13" s="173"/>
    </row>
    <row r="14" spans="1:66" ht="15.75" thickBot="1">
      <c r="A14" s="143" t="s">
        <v>155</v>
      </c>
      <c r="B14" t="s">
        <v>58</v>
      </c>
      <c r="D14"/>
      <c r="E14" s="24"/>
      <c r="F14" s="33">
        <v>0.6</v>
      </c>
      <c r="I14">
        <v>8</v>
      </c>
      <c r="J14" s="40">
        <f t="shared" si="1"/>
        <v>5250</v>
      </c>
      <c r="K14" s="40">
        <f t="shared" si="2"/>
        <v>3750</v>
      </c>
      <c r="R14">
        <v>8</v>
      </c>
      <c r="S14" s="40">
        <f t="shared" si="0"/>
        <v>5250</v>
      </c>
      <c r="T14" s="40">
        <f t="shared" si="0"/>
        <v>3750</v>
      </c>
      <c r="W14" t="s">
        <v>199</v>
      </c>
      <c r="X14" t="s">
        <v>200</v>
      </c>
      <c r="AA14" s="65" t="s">
        <v>74</v>
      </c>
      <c r="AF14" s="32">
        <f>+VLOOKUP(AF11,$AL$28:$AT$76,9,FALSE)</f>
        <v>74832.593612502795</v>
      </c>
      <c r="AG14" s="143" t="s">
        <v>170</v>
      </c>
      <c r="AK14" s="216" t="s">
        <v>117</v>
      </c>
      <c r="AL14" s="217"/>
      <c r="AM14" s="218"/>
      <c r="AN14" s="218"/>
      <c r="AO14" s="227">
        <f>+AF17</f>
        <v>385.71197085574317</v>
      </c>
      <c r="AP14" s="219">
        <f>+AO14/(S16/12)</f>
        <v>0.88162736195598435</v>
      </c>
      <c r="AR14" s="15"/>
      <c r="AT14" s="30"/>
      <c r="AV14" s="65" t="s">
        <v>36</v>
      </c>
      <c r="AW14" s="22"/>
      <c r="AX14" s="34"/>
      <c r="BB14" s="176">
        <f>+AF16</f>
        <v>5.1543311842568507</v>
      </c>
    </row>
    <row r="15" spans="1:66" ht="15.75" thickTop="1">
      <c r="A15" s="143" t="s">
        <v>156</v>
      </c>
      <c r="B15" t="s">
        <v>59</v>
      </c>
      <c r="D15"/>
      <c r="E15" s="24"/>
      <c r="F15" s="28">
        <v>1.2500000000000001E-2</v>
      </c>
      <c r="I15">
        <v>9</v>
      </c>
      <c r="J15" s="40">
        <f t="shared" si="1"/>
        <v>5250</v>
      </c>
      <c r="K15" s="40">
        <f t="shared" si="2"/>
        <v>3750</v>
      </c>
      <c r="R15">
        <v>9</v>
      </c>
      <c r="S15" s="40">
        <f t="shared" si="0"/>
        <v>5250</v>
      </c>
      <c r="T15" s="40">
        <f t="shared" si="0"/>
        <v>3750</v>
      </c>
      <c r="W15" t="s">
        <v>201</v>
      </c>
      <c r="AA15" s="65" t="s">
        <v>75</v>
      </c>
      <c r="AF15" s="167">
        <f>+AF14+AF12*AF13</f>
        <v>74832.593612502795</v>
      </c>
      <c r="AG15" s="167" t="s">
        <v>171</v>
      </c>
      <c r="AH15" s="31"/>
      <c r="AK15" s="194" t="s">
        <v>193</v>
      </c>
      <c r="AL15" s="194"/>
      <c r="AM15" s="194"/>
      <c r="AN15" s="194"/>
      <c r="AO15" s="220">
        <f>+BB15</f>
        <v>385.71197085574317</v>
      </c>
      <c r="AP15" s="221">
        <f>+AO15/(S17/12)</f>
        <v>0.88162736195598435</v>
      </c>
      <c r="AQ15" s="148"/>
      <c r="AT15" s="64"/>
      <c r="AV15" s="65" t="s">
        <v>176</v>
      </c>
      <c r="BB15" s="86">
        <f>+BB13*0.001*BB14</f>
        <v>385.71197085574317</v>
      </c>
      <c r="BH15" t="s">
        <v>143</v>
      </c>
      <c r="BM15" s="13">
        <f t="array" aca="1" ref="BM15" ca="1">+AVERAGE(LARGE($L$28:$L$76,ROW(INDIRECT("1:10"))))</f>
        <v>3750</v>
      </c>
    </row>
    <row r="16" spans="1:66" ht="15">
      <c r="B16" t="s">
        <v>79</v>
      </c>
      <c r="D16"/>
      <c r="E16" s="24"/>
      <c r="F16" s="73">
        <v>2500</v>
      </c>
      <c r="I16">
        <v>10</v>
      </c>
      <c r="J16" s="40">
        <f t="shared" si="1"/>
        <v>5250</v>
      </c>
      <c r="K16" s="40">
        <f t="shared" si="2"/>
        <v>3750</v>
      </c>
      <c r="R16">
        <v>10</v>
      </c>
      <c r="S16" s="40">
        <f t="shared" si="0"/>
        <v>5250</v>
      </c>
      <c r="T16" s="40">
        <f t="shared" si="0"/>
        <v>3750</v>
      </c>
      <c r="AA16" s="65" t="s">
        <v>36</v>
      </c>
      <c r="AB16" s="22"/>
      <c r="AC16" s="34"/>
      <c r="AF16" s="176">
        <f>+VLOOKUP(AF11,'bases renta'!$K$20:$L$65,2,FALSE)</f>
        <v>5.1543311842568507</v>
      </c>
      <c r="AG16" s="143" t="s">
        <v>172</v>
      </c>
      <c r="AV16" s="65" t="s">
        <v>140</v>
      </c>
      <c r="BB16" s="166">
        <f>+BB15/(J17/12)</f>
        <v>0.88162736195598435</v>
      </c>
      <c r="BH16" t="s">
        <v>107</v>
      </c>
      <c r="BM16" s="144">
        <f ca="1">+BM15*BM4/12</f>
        <v>207.03125</v>
      </c>
    </row>
    <row r="17" spans="2:65" ht="15">
      <c r="B17" t="s">
        <v>103</v>
      </c>
      <c r="D17"/>
      <c r="E17" s="24"/>
      <c r="F17" s="28">
        <v>3.5000000000000003E-2</v>
      </c>
      <c r="H17" s="195" t="s">
        <v>134</v>
      </c>
      <c r="I17" s="143" t="s">
        <v>148</v>
      </c>
      <c r="J17" s="163">
        <f>+AVERAGE(J7:J16)</f>
        <v>5250</v>
      </c>
      <c r="K17" s="163">
        <f>+AVERAGE(K7:K16)</f>
        <v>3750</v>
      </c>
      <c r="L17" s="143"/>
      <c r="P17" s="195"/>
      <c r="Q17" s="143" t="s">
        <v>134</v>
      </c>
      <c r="R17" s="143" t="s">
        <v>148</v>
      </c>
      <c r="S17" s="163">
        <f t="shared" si="0"/>
        <v>5250</v>
      </c>
      <c r="T17" s="163">
        <f t="shared" si="0"/>
        <v>3750</v>
      </c>
      <c r="U17" s="143" t="s">
        <v>162</v>
      </c>
      <c r="Z17" s="195"/>
      <c r="AA17" s="65" t="s">
        <v>176</v>
      </c>
      <c r="AF17" s="86">
        <f>+AF15*0.001*AF16</f>
        <v>385.71197085574317</v>
      </c>
      <c r="AG17" s="175" t="s">
        <v>173</v>
      </c>
      <c r="AH17" s="149"/>
      <c r="BH17" t="s">
        <v>108</v>
      </c>
      <c r="BM17" s="13">
        <f>+VLOOKUP(AF11,$R$28:$Y$76,8,FALSE)</f>
        <v>14253.827354762434</v>
      </c>
    </row>
    <row r="18" spans="2:65" ht="30" customHeight="1">
      <c r="B18" s="20" t="s">
        <v>182</v>
      </c>
      <c r="D18"/>
      <c r="E18" s="24"/>
      <c r="F18" s="28">
        <v>0</v>
      </c>
      <c r="H18" s="196"/>
      <c r="I18" t="s">
        <v>138</v>
      </c>
      <c r="J18" s="163">
        <f>+BM2</f>
        <v>300</v>
      </c>
      <c r="K18" s="164" t="s">
        <v>141</v>
      </c>
      <c r="L18" s="86">
        <f>+MIN(J17*J20/12,F16)</f>
        <v>289.84375</v>
      </c>
      <c r="M18" s="143" t="s">
        <v>158</v>
      </c>
      <c r="N18" s="143"/>
      <c r="P18" s="196"/>
      <c r="R18" t="s">
        <v>138</v>
      </c>
      <c r="S18" s="163">
        <f>+J18</f>
        <v>300</v>
      </c>
      <c r="T18" s="164" t="s">
        <v>144</v>
      </c>
      <c r="U18" s="86">
        <f>+(K17*S20)/12</f>
        <v>207.03125</v>
      </c>
      <c r="V18" s="143" t="s">
        <v>163</v>
      </c>
      <c r="W18" s="39" t="s">
        <v>140</v>
      </c>
      <c r="X18" s="166">
        <f>+U22/(J17/12)</f>
        <v>0.64114330703923506</v>
      </c>
      <c r="Y18" t="s">
        <v>167</v>
      </c>
      <c r="Z18" s="196"/>
      <c r="AA18" s="65" t="s">
        <v>140</v>
      </c>
      <c r="AF18" s="177">
        <f>+AF17/(J17/12)</f>
        <v>0.88162736195598435</v>
      </c>
      <c r="AG18" s="143" t="s">
        <v>174</v>
      </c>
      <c r="AH18" s="31"/>
      <c r="BH18" t="s">
        <v>109</v>
      </c>
      <c r="BM18" s="14">
        <f>+AF16</f>
        <v>5.1543311842568507</v>
      </c>
    </row>
    <row r="19" spans="2:65" ht="72">
      <c r="B19" s="20" t="s">
        <v>183</v>
      </c>
      <c r="F19" s="23">
        <f>+salidaformulas!A10</f>
        <v>700</v>
      </c>
      <c r="H19" s="196" t="s">
        <v>157</v>
      </c>
      <c r="I19" t="s">
        <v>139</v>
      </c>
      <c r="J19" s="163">
        <f>+BM3</f>
        <v>60</v>
      </c>
      <c r="K19" s="21" t="s">
        <v>152</v>
      </c>
      <c r="L19" s="150">
        <f>+F23</f>
        <v>437.5</v>
      </c>
      <c r="M19" s="143" t="s">
        <v>160</v>
      </c>
      <c r="N19" s="143"/>
      <c r="P19" s="196"/>
      <c r="R19" s="39" t="s">
        <v>139</v>
      </c>
      <c r="S19" s="163">
        <f>+J19</f>
        <v>60</v>
      </c>
      <c r="T19" s="143" t="s">
        <v>145</v>
      </c>
      <c r="U19" s="171">
        <f>+BM17</f>
        <v>14253.827354762434</v>
      </c>
      <c r="V19" s="143" t="s">
        <v>164</v>
      </c>
      <c r="W19" s="39" t="s">
        <v>152</v>
      </c>
      <c r="X19" s="140">
        <f>+L19</f>
        <v>437.5</v>
      </c>
      <c r="Y19" s="143" t="str">
        <f>+M19</f>
        <v>H</v>
      </c>
      <c r="Z19" s="196"/>
      <c r="AA19" s="65" t="s">
        <v>152</v>
      </c>
      <c r="AF19" s="150">
        <f>+X19</f>
        <v>437.5</v>
      </c>
      <c r="AG19" s="143" t="s">
        <v>160</v>
      </c>
      <c r="AI19" s="34"/>
      <c r="AJ19" s="34"/>
      <c r="BH19" t="s">
        <v>110</v>
      </c>
      <c r="BM19" s="144">
        <f>+(BM17/1000)*BM18</f>
        <v>73.468946829665356</v>
      </c>
    </row>
    <row r="20" spans="2:65" ht="30">
      <c r="B20" s="20" t="s">
        <v>194</v>
      </c>
      <c r="F20" s="236">
        <v>7.5</v>
      </c>
      <c r="H20" s="198" t="s">
        <v>159</v>
      </c>
      <c r="I20" s="39" t="s">
        <v>140</v>
      </c>
      <c r="J20" s="165">
        <f>+BM4</f>
        <v>0.66249999999999998</v>
      </c>
      <c r="K20" s="143" t="s">
        <v>142</v>
      </c>
      <c r="L20" s="166">
        <f>+L18/L19</f>
        <v>0.66249999999999998</v>
      </c>
      <c r="M20" s="143" t="s">
        <v>161</v>
      </c>
      <c r="N20" s="143"/>
      <c r="Q20" s="143" t="s">
        <v>154</v>
      </c>
      <c r="R20" s="39" t="s">
        <v>140</v>
      </c>
      <c r="S20" s="165">
        <f>+J20</f>
        <v>0.66249999999999998</v>
      </c>
      <c r="T20" s="169" t="s">
        <v>146</v>
      </c>
      <c r="U20" s="167">
        <f>+BM18</f>
        <v>5.1543311842568507</v>
      </c>
      <c r="V20" s="143" t="s">
        <v>0</v>
      </c>
      <c r="W20" s="39" t="s">
        <v>142</v>
      </c>
      <c r="X20" s="166">
        <f>+U22/L19</f>
        <v>0.64114330703923506</v>
      </c>
      <c r="Y20" s="143" t="s">
        <v>168</v>
      </c>
      <c r="AA20" s="65" t="s">
        <v>142</v>
      </c>
      <c r="AF20" s="166">
        <f>+AF17/L19</f>
        <v>0.88162736195598435</v>
      </c>
      <c r="AG20" s="143" t="s">
        <v>175</v>
      </c>
      <c r="AH20" s="156"/>
      <c r="AS20" s="38"/>
      <c r="BH20" s="143" t="s">
        <v>111</v>
      </c>
      <c r="BM20" s="145">
        <f ca="1">IF(BM2&gt;=240,MAX(BM16+BM19,265),BM16+BM19)</f>
        <v>280.50019682966536</v>
      </c>
    </row>
    <row r="21" spans="2:65" s="34" customFormat="1" ht="30">
      <c r="C21" s="203" t="s">
        <v>195</v>
      </c>
      <c r="F21" s="202">
        <f>+SUMIF(F28:F76,"&gt;0")</f>
        <v>300</v>
      </c>
      <c r="G21" s="168">
        <f>+F21/12</f>
        <v>25</v>
      </c>
      <c r="H21" s="197"/>
      <c r="J21" s="193"/>
      <c r="P21" s="197"/>
      <c r="T21" s="168" t="s">
        <v>110</v>
      </c>
      <c r="U21" s="86">
        <f>+U19*0.001*U20</f>
        <v>73.468946829665356</v>
      </c>
      <c r="V21" s="169" t="s">
        <v>165</v>
      </c>
      <c r="Z21" s="197"/>
      <c r="AH21" s="156"/>
      <c r="AQ21" s="147"/>
      <c r="AR21"/>
      <c r="AS21" s="16"/>
      <c r="AU21" s="197"/>
      <c r="BG21" s="188"/>
      <c r="BH21" s="151" t="s">
        <v>131</v>
      </c>
      <c r="BI21"/>
      <c r="BJ21"/>
      <c r="BK21"/>
      <c r="BM21" s="153">
        <f ca="1">+BM20*12/VLOOKUP(MAX($BL$8:$BL$10),$BL$8:$BN$10,2,0)</f>
        <v>0.64114330703923506</v>
      </c>
    </row>
    <row r="22" spans="2:65" ht="15" customHeight="1">
      <c r="B22" s="23"/>
      <c r="C22" s="29" t="s">
        <v>190</v>
      </c>
      <c r="E22" s="37"/>
      <c r="F22" s="204">
        <f>+AVERAGEIF(G28:G76,"&gt;0")</f>
        <v>5250</v>
      </c>
      <c r="G22" s="150"/>
      <c r="T22" s="143" t="s">
        <v>147</v>
      </c>
      <c r="U22" s="170">
        <f>+U21+U18</f>
        <v>280.50019682966536</v>
      </c>
      <c r="V22" s="143" t="s">
        <v>166</v>
      </c>
      <c r="AS22" s="16"/>
    </row>
    <row r="23" spans="2:65" ht="15">
      <c r="B23" s="61"/>
      <c r="C23" s="29" t="s">
        <v>191</v>
      </c>
      <c r="E23" s="203"/>
      <c r="F23" s="204">
        <f>+F22/12</f>
        <v>437.5</v>
      </c>
      <c r="G23" s="150"/>
      <c r="I23" s="40"/>
      <c r="T23" s="143" t="s">
        <v>196</v>
      </c>
      <c r="U23" s="231">
        <v>0.04</v>
      </c>
      <c r="AA23" s="20"/>
      <c r="AB23" s="22"/>
      <c r="AC23" s="22"/>
      <c r="AD23" s="34"/>
      <c r="AE23" s="34"/>
      <c r="AF23" s="35"/>
    </row>
    <row r="24" spans="2:65" ht="15.75" thickBot="1">
      <c r="B24" s="264" t="s">
        <v>121</v>
      </c>
      <c r="C24" s="264"/>
      <c r="D24" s="264"/>
      <c r="E24" s="264"/>
      <c r="F24" s="264"/>
      <c r="G24" s="264"/>
      <c r="I24" s="264" t="s">
        <v>122</v>
      </c>
      <c r="J24" s="264"/>
      <c r="K24" s="264"/>
      <c r="L24" s="264"/>
      <c r="M24" s="264"/>
      <c r="N24" s="264"/>
      <c r="O24" s="264"/>
      <c r="Q24" s="264" t="s">
        <v>123</v>
      </c>
      <c r="R24" s="264"/>
      <c r="S24" s="264"/>
      <c r="T24" s="264"/>
      <c r="U24" s="264"/>
      <c r="V24" s="264"/>
      <c r="W24" s="264"/>
      <c r="X24" s="264"/>
      <c r="Y24" s="264"/>
      <c r="AA24" s="264" t="s">
        <v>124</v>
      </c>
      <c r="AB24" s="264"/>
      <c r="AC24" s="264"/>
      <c r="AD24" s="264"/>
      <c r="AE24" s="264"/>
      <c r="AF24" s="264"/>
      <c r="AG24" s="264"/>
      <c r="AH24" s="264"/>
      <c r="AI24" s="264"/>
      <c r="AK24" s="264" t="s">
        <v>125</v>
      </c>
      <c r="AL24" s="264"/>
      <c r="AM24" s="264"/>
      <c r="AN24" s="264"/>
      <c r="AO24" s="264"/>
      <c r="AP24" s="264"/>
      <c r="AQ24" s="264"/>
      <c r="AR24" s="264"/>
      <c r="AS24" s="264"/>
      <c r="AT24" s="264"/>
      <c r="AV24" s="264" t="s">
        <v>126</v>
      </c>
      <c r="AW24" s="264"/>
      <c r="AX24" s="264"/>
      <c r="AY24" s="264"/>
      <c r="AZ24" s="264"/>
      <c r="BA24" s="264"/>
      <c r="BB24" s="264"/>
      <c r="BC24" s="264"/>
      <c r="BD24" s="264"/>
      <c r="BE24" s="264"/>
    </row>
    <row r="25" spans="2:65" ht="16.5" thickTop="1" thickBot="1">
      <c r="B25" s="29" t="s">
        <v>135</v>
      </c>
      <c r="I25" s="143" t="s">
        <v>87</v>
      </c>
      <c r="O25" s="72"/>
      <c r="Q25" s="269" t="s">
        <v>104</v>
      </c>
      <c r="R25" s="269"/>
      <c r="S25" s="269"/>
      <c r="T25" s="269"/>
      <c r="U25" s="269"/>
      <c r="V25" s="269"/>
      <c r="W25" s="269"/>
      <c r="X25" s="269"/>
      <c r="Y25" s="269"/>
      <c r="AA25" s="265" t="s">
        <v>116</v>
      </c>
      <c r="AB25" s="265"/>
      <c r="AC25" s="265"/>
      <c r="AD25" s="265"/>
      <c r="AE25" s="265"/>
      <c r="AF25" s="265"/>
      <c r="AG25" s="265"/>
      <c r="AH25" s="265"/>
      <c r="AI25" s="265"/>
      <c r="AK25" s="265" t="s">
        <v>115</v>
      </c>
      <c r="AL25" s="265"/>
      <c r="AM25" s="265"/>
      <c r="AN25" s="265"/>
      <c r="AO25" s="265"/>
      <c r="AP25" s="265"/>
      <c r="AQ25" s="265"/>
      <c r="AR25" s="265"/>
      <c r="AS25" s="265"/>
      <c r="AT25" s="265"/>
      <c r="AV25" s="265" t="s">
        <v>181</v>
      </c>
      <c r="AW25" s="265"/>
      <c r="AX25" s="265"/>
      <c r="AY25" s="265"/>
      <c r="AZ25" s="265"/>
      <c r="BA25" s="265"/>
      <c r="BB25" s="265"/>
      <c r="BC25" s="265"/>
      <c r="BD25" s="265"/>
      <c r="BE25" s="265"/>
    </row>
    <row r="26" spans="2:65" ht="87" thickTop="1" thickBot="1">
      <c r="B26" s="44" t="s">
        <v>38</v>
      </c>
      <c r="C26" s="41" t="s">
        <v>63</v>
      </c>
      <c r="D26" s="41" t="s">
        <v>40</v>
      </c>
      <c r="E26" s="42" t="s">
        <v>41</v>
      </c>
      <c r="F26" s="41" t="s">
        <v>43</v>
      </c>
      <c r="G26" s="190" t="s">
        <v>42</v>
      </c>
      <c r="H26" s="197"/>
      <c r="I26" s="44" t="s">
        <v>38</v>
      </c>
      <c r="J26" s="42" t="s">
        <v>80</v>
      </c>
      <c r="K26" s="42" t="s">
        <v>43</v>
      </c>
      <c r="L26" s="42" t="s">
        <v>177</v>
      </c>
      <c r="M26" s="42" t="s">
        <v>178</v>
      </c>
      <c r="N26" s="178" t="s">
        <v>179</v>
      </c>
      <c r="O26" s="45" t="s">
        <v>180</v>
      </c>
      <c r="P26" s="197"/>
      <c r="Q26" s="44" t="s">
        <v>38</v>
      </c>
      <c r="R26" s="41" t="s">
        <v>39</v>
      </c>
      <c r="S26" s="41" t="s">
        <v>69</v>
      </c>
      <c r="T26" s="41" t="s">
        <v>64</v>
      </c>
      <c r="U26" s="41" t="s">
        <v>105</v>
      </c>
      <c r="V26" s="41" t="s">
        <v>100</v>
      </c>
      <c r="W26" s="42" t="s">
        <v>44</v>
      </c>
      <c r="X26" s="42" t="s">
        <v>45</v>
      </c>
      <c r="Y26" s="43" t="s">
        <v>101</v>
      </c>
      <c r="Z26" s="197"/>
      <c r="AA26" s="44" t="s">
        <v>38</v>
      </c>
      <c r="AB26" s="41" t="s">
        <v>39</v>
      </c>
      <c r="AC26" s="41" t="s">
        <v>69</v>
      </c>
      <c r="AD26" s="41" t="s">
        <v>64</v>
      </c>
      <c r="AE26" s="41" t="s">
        <v>102</v>
      </c>
      <c r="AF26" s="41" t="s">
        <v>100</v>
      </c>
      <c r="AG26" s="42" t="s">
        <v>44</v>
      </c>
      <c r="AH26" s="42" t="s">
        <v>45</v>
      </c>
      <c r="AI26" s="43" t="s">
        <v>101</v>
      </c>
      <c r="AK26" s="44" t="s">
        <v>38</v>
      </c>
      <c r="AL26" s="41" t="s">
        <v>39</v>
      </c>
      <c r="AM26" s="41" t="s">
        <v>69</v>
      </c>
      <c r="AN26" s="41" t="s">
        <v>64</v>
      </c>
      <c r="AO26" s="41" t="s">
        <v>65</v>
      </c>
      <c r="AP26" s="41" t="s">
        <v>192</v>
      </c>
      <c r="AQ26" s="41" t="s">
        <v>100</v>
      </c>
      <c r="AR26" s="42" t="s">
        <v>44</v>
      </c>
      <c r="AS26" s="42" t="s">
        <v>45</v>
      </c>
      <c r="AT26" s="66" t="s">
        <v>100</v>
      </c>
      <c r="AV26" s="44" t="s">
        <v>38</v>
      </c>
      <c r="AW26" s="41" t="s">
        <v>39</v>
      </c>
      <c r="AX26" s="41" t="s">
        <v>69</v>
      </c>
      <c r="AY26" s="41" t="s">
        <v>64</v>
      </c>
      <c r="AZ26" s="41" t="s">
        <v>65</v>
      </c>
      <c r="BA26" s="41" t="s">
        <v>192</v>
      </c>
      <c r="BB26" s="41" t="s">
        <v>100</v>
      </c>
      <c r="BC26" s="42" t="s">
        <v>44</v>
      </c>
      <c r="BD26" s="42" t="s">
        <v>45</v>
      </c>
      <c r="BE26" s="66" t="s">
        <v>100</v>
      </c>
    </row>
    <row r="27" spans="2:65" ht="15.75" thickTop="1" thickBot="1">
      <c r="B27" s="46"/>
      <c r="G27" s="191"/>
      <c r="I27" s="46"/>
      <c r="J27" s="46"/>
      <c r="K27" s="46"/>
      <c r="L27" s="46"/>
      <c r="M27" s="46"/>
      <c r="N27" s="46"/>
      <c r="O27" s="20"/>
      <c r="Q27" s="46"/>
      <c r="R27" s="20"/>
      <c r="S27" s="20"/>
      <c r="T27" s="20"/>
      <c r="U27" s="20"/>
      <c r="V27" s="20"/>
      <c r="W27" s="22"/>
      <c r="X27" s="22"/>
      <c r="AA27" s="46"/>
      <c r="AB27" s="20"/>
      <c r="AC27" s="20"/>
      <c r="AD27" s="20"/>
      <c r="AE27" s="20"/>
      <c r="AF27" s="20"/>
      <c r="AG27" s="22"/>
      <c r="AH27" s="22"/>
      <c r="AK27" s="46"/>
      <c r="AL27" s="20"/>
      <c r="AM27" s="20"/>
      <c r="AN27" s="20"/>
      <c r="AO27" s="20"/>
      <c r="AP27" s="20"/>
      <c r="AQ27" s="20"/>
      <c r="AR27" s="22"/>
      <c r="AS27" s="22"/>
      <c r="AV27" s="46"/>
      <c r="AW27" s="20"/>
      <c r="AX27" s="20"/>
      <c r="AY27" s="20"/>
      <c r="AZ27" s="20"/>
      <c r="BA27" s="20"/>
      <c r="BB27" s="20"/>
      <c r="BC27" s="22"/>
      <c r="BD27" s="22"/>
    </row>
    <row r="28" spans="2:65" ht="15.75" thickTop="1" thickBot="1">
      <c r="B28" s="57">
        <v>1</v>
      </c>
      <c r="C28" s="48">
        <f>+F4</f>
        <v>22</v>
      </c>
      <c r="D28" s="184">
        <v>1</v>
      </c>
      <c r="E28" s="48">
        <f>+IF($C28&gt;=$F$6,0,$F$19*D28)</f>
        <v>700</v>
      </c>
      <c r="F28" s="205">
        <f>+IF($C28&gt;=$F$6,0,$F$20)</f>
        <v>7.5</v>
      </c>
      <c r="G28" s="192">
        <f>+E28*F28</f>
        <v>5250</v>
      </c>
      <c r="I28" s="57">
        <f>+B28</f>
        <v>1</v>
      </c>
      <c r="J28" s="75">
        <f>+C28</f>
        <v>22</v>
      </c>
      <c r="K28" s="75">
        <f t="shared" ref="K28:K76" si="3">+IF(AL28&lt;=$AF$11,1,0)*F28</f>
        <v>7.5</v>
      </c>
      <c r="L28" s="48">
        <f>+IF(AL28&gt;$AF$11,0,IF(E28&gt;500,500*F28,E28*F28))</f>
        <v>3750</v>
      </c>
      <c r="M28" s="75">
        <f t="shared" ref="M28:M76" si="4">+IF(AL28&gt;$AF$11,0,IF(G28-L28 &lt;= 0,0,G28-L28))</f>
        <v>1500</v>
      </c>
      <c r="N28" s="75">
        <f>+IF($F$7&lt;7,L28+M28,IF(AL28&gt;$AF$11,0,IF($F$2=1,IF($J28&lt;$F$5,IF(G28&lt;=$F$16*12,G28,$F$16*12),G28),G28)))</f>
        <v>5250</v>
      </c>
      <c r="O28" s="179">
        <f>+IFERROR(N28/K28,0)</f>
        <v>700</v>
      </c>
      <c r="Q28" s="57">
        <f t="shared" ref="Q28:Q76" si="5">+I28</f>
        <v>1</v>
      </c>
      <c r="R28" s="87">
        <f t="shared" ref="R28:R76" si="6">+J28+1</f>
        <v>23</v>
      </c>
      <c r="S28" s="87">
        <f t="shared" ref="S28:S76" si="7">+IF(R28&lt;=$AF$11,1,0)</f>
        <v>1</v>
      </c>
      <c r="T28" s="141">
        <f>+$F$9-$F$17</f>
        <v>0.1</v>
      </c>
      <c r="U28" s="87">
        <f t="shared" ref="U28:U76" si="8">+M28</f>
        <v>1500</v>
      </c>
      <c r="V28" s="87">
        <f>+Y27</f>
        <v>0</v>
      </c>
      <c r="W28" s="87">
        <f>+T28*U28*S28</f>
        <v>150</v>
      </c>
      <c r="X28" s="87">
        <f>+$U$23*V28</f>
        <v>0</v>
      </c>
      <c r="Y28" s="142">
        <f>+(V28+W28+X28)</f>
        <v>150</v>
      </c>
      <c r="AA28" s="57">
        <f t="shared" ref="AA28:AA76" si="9">+B28</f>
        <v>1</v>
      </c>
      <c r="AB28" s="48">
        <f t="shared" ref="AB28:AB76" si="10">+C28+1</f>
        <v>23</v>
      </c>
      <c r="AC28" s="48">
        <f t="shared" ref="AC28:AC76" si="11">+IF(C28&lt;$F$5,1,0)</f>
        <v>0</v>
      </c>
      <c r="AD28" s="50">
        <f>F8</f>
        <v>0.15</v>
      </c>
      <c r="AE28" s="48">
        <f t="shared" ref="AE28:AE76" si="12">+IF($F$2=1,IF(G28&lt;=2500*12,G28,2500*12),G28)</f>
        <v>5250</v>
      </c>
      <c r="AF28" s="48">
        <f>+AI27</f>
        <v>0</v>
      </c>
      <c r="AG28" s="48">
        <f>+AD28*AE28*$AC28</f>
        <v>0</v>
      </c>
      <c r="AH28" s="48">
        <f t="shared" ref="AH28:AH76" si="13">+AF28*$F$11</f>
        <v>0</v>
      </c>
      <c r="AI28" s="49">
        <f>+(AF28+AG28+AH28)</f>
        <v>0</v>
      </c>
      <c r="AK28" s="57">
        <f>+AA28</f>
        <v>1</v>
      </c>
      <c r="AL28" s="48">
        <f>+AB28</f>
        <v>23</v>
      </c>
      <c r="AM28" s="48">
        <f t="shared" ref="AM28:AM65" si="14">+IF($C28&gt;=$F$5,1,0)</f>
        <v>1</v>
      </c>
      <c r="AN28" s="50">
        <f t="shared" ref="AN28:AN76" si="15">+$F$9*AM28</f>
        <v>0.13500000000000001</v>
      </c>
      <c r="AO28" s="50">
        <f t="shared" ref="AO28:AO76" si="16">+AM28*$F$10</f>
        <v>0.18</v>
      </c>
      <c r="AP28" s="207">
        <f>+G28</f>
        <v>5250</v>
      </c>
      <c r="AQ28" s="48">
        <f>+AT27</f>
        <v>0</v>
      </c>
      <c r="AR28" s="52">
        <f>+(AN28*AP28+AO28*(AP28/12))*AM28</f>
        <v>787.5</v>
      </c>
      <c r="AS28" s="48">
        <f>+AQ28*$F$12</f>
        <v>0</v>
      </c>
      <c r="AT28" s="49">
        <f>+(AQ28+AR28+AS28)</f>
        <v>787.5</v>
      </c>
      <c r="AV28" s="57">
        <f t="shared" ref="AV28:AW59" si="17">+AK28</f>
        <v>1</v>
      </c>
      <c r="AW28" s="48">
        <f t="shared" si="17"/>
        <v>23</v>
      </c>
      <c r="AX28" s="48">
        <v>1</v>
      </c>
      <c r="AY28" s="50">
        <f t="shared" ref="AY28:AY76" si="18">+$F$9*AX28</f>
        <v>0.13500000000000001</v>
      </c>
      <c r="AZ28" s="50">
        <f t="shared" ref="AZ28:AZ76" si="19">+AX28*$F$10</f>
        <v>0.18</v>
      </c>
      <c r="BA28" s="207">
        <f>+G28</f>
        <v>5250</v>
      </c>
      <c r="BB28" s="48">
        <f>+BE27</f>
        <v>0</v>
      </c>
      <c r="BC28" s="48">
        <f>+(AY28*BA28+AZ28*(BA28/12))*AX28</f>
        <v>787.5</v>
      </c>
      <c r="BD28" s="48">
        <f>+BB28*$F$12</f>
        <v>0</v>
      </c>
      <c r="BE28" s="49">
        <f>+(BB28+BC28+BD28)</f>
        <v>787.5</v>
      </c>
    </row>
    <row r="29" spans="2:65" ht="15.75" thickTop="1" thickBot="1">
      <c r="B29" s="58">
        <f t="shared" ref="B29:C44" si="20">+B28+1</f>
        <v>2</v>
      </c>
      <c r="C29" s="52">
        <f t="shared" si="20"/>
        <v>23</v>
      </c>
      <c r="D29" s="185">
        <f>+D28*(1+$F$18)</f>
        <v>1</v>
      </c>
      <c r="E29" s="48">
        <f t="shared" ref="E29:E76" si="21">+IF($C29&gt;=$F$6,0,$F$19*D29)</f>
        <v>700</v>
      </c>
      <c r="F29" s="205">
        <f t="shared" ref="F29:F76" si="22">+IF($C29&gt;=$F$6,0,$F$20)</f>
        <v>7.5</v>
      </c>
      <c r="G29" s="192">
        <f t="shared" ref="G29:G76" si="23">+E29*F29</f>
        <v>5250</v>
      </c>
      <c r="I29" s="58">
        <f t="shared" ref="I29:I76" si="24">+I28+1</f>
        <v>2</v>
      </c>
      <c r="J29" s="74">
        <f t="shared" ref="J29:J76" si="25">+C29</f>
        <v>23</v>
      </c>
      <c r="K29" s="74">
        <f t="shared" si="3"/>
        <v>7.5</v>
      </c>
      <c r="L29" s="52">
        <f t="shared" ref="L29:L76" si="26">+IF(AL29&gt;$AF$11,0,IF(E29&gt;500,500*F29,E29*F29))</f>
        <v>3750</v>
      </c>
      <c r="M29" s="74">
        <f t="shared" si="4"/>
        <v>1500</v>
      </c>
      <c r="N29" s="74">
        <f t="shared" ref="N29:N76" si="27">+IF($F$7&lt;7,L29+M29,IF(AL29&gt;$AF$11,0,IF($F$2=1,IF($J29&lt;$F$5,IF(G29&lt;=$F$16*12,G29,$F$16*12),G29),G29)))</f>
        <v>5250</v>
      </c>
      <c r="O29" s="180">
        <f t="shared" ref="O29:O76" si="28">+IFERROR(N29/K29,0)</f>
        <v>700</v>
      </c>
      <c r="Q29" s="58">
        <f t="shared" si="5"/>
        <v>2</v>
      </c>
      <c r="R29" s="52">
        <f t="shared" si="6"/>
        <v>24</v>
      </c>
      <c r="S29" s="52">
        <f t="shared" si="7"/>
        <v>1</v>
      </c>
      <c r="T29" s="54">
        <f>+T28</f>
        <v>0.1</v>
      </c>
      <c r="U29" s="52">
        <f t="shared" si="8"/>
        <v>1500</v>
      </c>
      <c r="V29" s="52">
        <f t="shared" ref="V29:V76" si="29">+Y28</f>
        <v>150</v>
      </c>
      <c r="W29" s="52">
        <f t="shared" ref="W29:W76" si="30">+T29*U29*S29</f>
        <v>150</v>
      </c>
      <c r="X29" s="87">
        <f t="shared" ref="X29:X76" si="31">+$U$23*V29</f>
        <v>6</v>
      </c>
      <c r="Y29" s="53">
        <f t="shared" ref="Y29:Y76" si="32">+(V29+W29+X29)</f>
        <v>306</v>
      </c>
      <c r="AA29" s="58">
        <f t="shared" si="9"/>
        <v>2</v>
      </c>
      <c r="AB29" s="52">
        <f t="shared" si="10"/>
        <v>24</v>
      </c>
      <c r="AC29" s="52">
        <f t="shared" si="11"/>
        <v>0</v>
      </c>
      <c r="AD29" s="54">
        <f>+AD28</f>
        <v>0.15</v>
      </c>
      <c r="AE29" s="52">
        <f t="shared" si="12"/>
        <v>5250</v>
      </c>
      <c r="AF29" s="52">
        <f t="shared" ref="AF29:AF76" si="33">+AI28</f>
        <v>0</v>
      </c>
      <c r="AG29" s="52">
        <f t="shared" ref="AG29:AG76" si="34">+AD29*AE29*$AC29</f>
        <v>0</v>
      </c>
      <c r="AH29" s="52">
        <f t="shared" si="13"/>
        <v>0</v>
      </c>
      <c r="AI29" s="53">
        <f t="shared" ref="AI29:AI76" si="35">+(AF29+AG29+AH29)</f>
        <v>0</v>
      </c>
      <c r="AK29" s="58">
        <f t="shared" ref="AK29:AL76" si="36">+AA29</f>
        <v>2</v>
      </c>
      <c r="AL29" s="52">
        <f t="shared" si="36"/>
        <v>24</v>
      </c>
      <c r="AM29" s="52">
        <f t="shared" si="14"/>
        <v>1</v>
      </c>
      <c r="AN29" s="54">
        <f t="shared" si="15"/>
        <v>0.13500000000000001</v>
      </c>
      <c r="AO29" s="54">
        <f t="shared" si="16"/>
        <v>0.18</v>
      </c>
      <c r="AP29" s="207">
        <f t="shared" ref="AP29:AP76" si="37">+G29</f>
        <v>5250</v>
      </c>
      <c r="AQ29" s="52">
        <f t="shared" ref="AQ29:AQ76" si="38">+AT28</f>
        <v>787.5</v>
      </c>
      <c r="AR29" s="52">
        <f t="shared" ref="AR29:AR76" si="39">+(AN29*AP29+AO29*(AP29/12))*AM29</f>
        <v>787.5</v>
      </c>
      <c r="AS29" s="48">
        <f t="shared" ref="AS29:AS76" si="40">+AQ29*$F$12</f>
        <v>31.5</v>
      </c>
      <c r="AT29" s="53">
        <f t="shared" ref="AT29:AT76" si="41">+(AQ29+AR29+AS29)</f>
        <v>1606.5</v>
      </c>
      <c r="AV29" s="58">
        <f t="shared" si="17"/>
        <v>2</v>
      </c>
      <c r="AW29" s="52">
        <f t="shared" si="17"/>
        <v>24</v>
      </c>
      <c r="AX29" s="48">
        <v>1</v>
      </c>
      <c r="AY29" s="54">
        <f t="shared" si="18"/>
        <v>0.13500000000000001</v>
      </c>
      <c r="AZ29" s="54">
        <f t="shared" si="19"/>
        <v>0.18</v>
      </c>
      <c r="BA29" s="207">
        <f t="shared" ref="BA29:BA76" si="42">+G29</f>
        <v>5250</v>
      </c>
      <c r="BB29" s="52">
        <f t="shared" ref="BB29:BB76" si="43">+BE28</f>
        <v>787.5</v>
      </c>
      <c r="BC29" s="48">
        <f t="shared" ref="BC29:BC76" si="44">+(AY29*BA29+AZ29*(BA29/12))*AX29</f>
        <v>787.5</v>
      </c>
      <c r="BD29" s="48">
        <f t="shared" ref="BD29:BD76" si="45">+BB29*$F$12</f>
        <v>31.5</v>
      </c>
      <c r="BE29" s="53">
        <f t="shared" ref="BE29:BE76" si="46">+(BB29+BC29+BD29)</f>
        <v>1606.5</v>
      </c>
    </row>
    <row r="30" spans="2:65" ht="15.75" thickTop="1" thickBot="1">
      <c r="B30" s="58">
        <f t="shared" si="20"/>
        <v>3</v>
      </c>
      <c r="C30" s="52">
        <f t="shared" si="20"/>
        <v>24</v>
      </c>
      <c r="D30" s="185">
        <f t="shared" ref="D30:D76" si="47">+D29*(1+$F$18)</f>
        <v>1</v>
      </c>
      <c r="E30" s="48">
        <f t="shared" si="21"/>
        <v>700</v>
      </c>
      <c r="F30" s="205">
        <f t="shared" si="22"/>
        <v>7.5</v>
      </c>
      <c r="G30" s="192">
        <f t="shared" si="23"/>
        <v>5250</v>
      </c>
      <c r="I30" s="58">
        <f t="shared" si="24"/>
        <v>3</v>
      </c>
      <c r="J30" s="74">
        <f t="shared" si="25"/>
        <v>24</v>
      </c>
      <c r="K30" s="74">
        <f t="shared" si="3"/>
        <v>7.5</v>
      </c>
      <c r="L30" s="52">
        <f t="shared" si="26"/>
        <v>3750</v>
      </c>
      <c r="M30" s="74">
        <f t="shared" si="4"/>
        <v>1500</v>
      </c>
      <c r="N30" s="74">
        <f t="shared" si="27"/>
        <v>5250</v>
      </c>
      <c r="O30" s="180">
        <f t="shared" si="28"/>
        <v>700</v>
      </c>
      <c r="Q30" s="58">
        <f t="shared" si="5"/>
        <v>3</v>
      </c>
      <c r="R30" s="52">
        <f t="shared" si="6"/>
        <v>25</v>
      </c>
      <c r="S30" s="52">
        <f t="shared" si="7"/>
        <v>1</v>
      </c>
      <c r="T30" s="54">
        <f t="shared" ref="T30:T76" si="48">+T29</f>
        <v>0.1</v>
      </c>
      <c r="U30" s="52">
        <f t="shared" si="8"/>
        <v>1500</v>
      </c>
      <c r="V30" s="52">
        <f t="shared" si="29"/>
        <v>306</v>
      </c>
      <c r="W30" s="52">
        <f t="shared" si="30"/>
        <v>150</v>
      </c>
      <c r="X30" s="87">
        <f t="shared" si="31"/>
        <v>12.24</v>
      </c>
      <c r="Y30" s="53">
        <f t="shared" si="32"/>
        <v>468.24</v>
      </c>
      <c r="AA30" s="58">
        <f t="shared" si="9"/>
        <v>3</v>
      </c>
      <c r="AB30" s="52">
        <f t="shared" si="10"/>
        <v>25</v>
      </c>
      <c r="AC30" s="52">
        <f t="shared" si="11"/>
        <v>0</v>
      </c>
      <c r="AD30" s="54">
        <f t="shared" ref="AD30:AD76" si="49">+AD29</f>
        <v>0.15</v>
      </c>
      <c r="AE30" s="52">
        <f t="shared" si="12"/>
        <v>5250</v>
      </c>
      <c r="AF30" s="52">
        <f t="shared" si="33"/>
        <v>0</v>
      </c>
      <c r="AG30" s="52">
        <f t="shared" si="34"/>
        <v>0</v>
      </c>
      <c r="AH30" s="52">
        <f t="shared" si="13"/>
        <v>0</v>
      </c>
      <c r="AI30" s="53">
        <f t="shared" si="35"/>
        <v>0</v>
      </c>
      <c r="AK30" s="58">
        <f t="shared" si="36"/>
        <v>3</v>
      </c>
      <c r="AL30" s="52">
        <f t="shared" si="36"/>
        <v>25</v>
      </c>
      <c r="AM30" s="52">
        <f t="shared" si="14"/>
        <v>1</v>
      </c>
      <c r="AN30" s="54">
        <f t="shared" si="15"/>
        <v>0.13500000000000001</v>
      </c>
      <c r="AO30" s="54">
        <f t="shared" si="16"/>
        <v>0.18</v>
      </c>
      <c r="AP30" s="207">
        <f t="shared" si="37"/>
        <v>5250</v>
      </c>
      <c r="AQ30" s="52">
        <f t="shared" si="38"/>
        <v>1606.5</v>
      </c>
      <c r="AR30" s="52">
        <f t="shared" si="39"/>
        <v>787.5</v>
      </c>
      <c r="AS30" s="48">
        <f t="shared" si="40"/>
        <v>64.260000000000005</v>
      </c>
      <c r="AT30" s="53">
        <f t="shared" si="41"/>
        <v>2458.2600000000002</v>
      </c>
      <c r="AV30" s="58">
        <f t="shared" si="17"/>
        <v>3</v>
      </c>
      <c r="AW30" s="52">
        <f t="shared" si="17"/>
        <v>25</v>
      </c>
      <c r="AX30" s="48">
        <v>1</v>
      </c>
      <c r="AY30" s="54">
        <f t="shared" si="18"/>
        <v>0.13500000000000001</v>
      </c>
      <c r="AZ30" s="54">
        <f t="shared" si="19"/>
        <v>0.18</v>
      </c>
      <c r="BA30" s="207">
        <f t="shared" si="42"/>
        <v>5250</v>
      </c>
      <c r="BB30" s="52">
        <f t="shared" si="43"/>
        <v>1606.5</v>
      </c>
      <c r="BC30" s="48">
        <f t="shared" si="44"/>
        <v>787.5</v>
      </c>
      <c r="BD30" s="48">
        <f t="shared" si="45"/>
        <v>64.260000000000005</v>
      </c>
      <c r="BE30" s="53">
        <f t="shared" si="46"/>
        <v>2458.2600000000002</v>
      </c>
    </row>
    <row r="31" spans="2:65" ht="15.75" thickTop="1" thickBot="1">
      <c r="B31" s="58">
        <f t="shared" si="20"/>
        <v>4</v>
      </c>
      <c r="C31" s="52">
        <f t="shared" si="20"/>
        <v>25</v>
      </c>
      <c r="D31" s="185">
        <f t="shared" si="47"/>
        <v>1</v>
      </c>
      <c r="E31" s="48">
        <f t="shared" si="21"/>
        <v>700</v>
      </c>
      <c r="F31" s="205">
        <f t="shared" si="22"/>
        <v>7.5</v>
      </c>
      <c r="G31" s="192">
        <f t="shared" si="23"/>
        <v>5250</v>
      </c>
      <c r="I31" s="58">
        <f t="shared" si="24"/>
        <v>4</v>
      </c>
      <c r="J31" s="74">
        <f t="shared" si="25"/>
        <v>25</v>
      </c>
      <c r="K31" s="74">
        <f t="shared" si="3"/>
        <v>7.5</v>
      </c>
      <c r="L31" s="52">
        <f t="shared" si="26"/>
        <v>3750</v>
      </c>
      <c r="M31" s="74">
        <f t="shared" si="4"/>
        <v>1500</v>
      </c>
      <c r="N31" s="74">
        <f t="shared" si="27"/>
        <v>5250</v>
      </c>
      <c r="O31" s="180">
        <f t="shared" si="28"/>
        <v>700</v>
      </c>
      <c r="Q31" s="58">
        <f t="shared" si="5"/>
        <v>4</v>
      </c>
      <c r="R31" s="52">
        <f t="shared" si="6"/>
        <v>26</v>
      </c>
      <c r="S31" s="52">
        <f t="shared" si="7"/>
        <v>1</v>
      </c>
      <c r="T31" s="54">
        <f t="shared" si="48"/>
        <v>0.1</v>
      </c>
      <c r="U31" s="52">
        <f t="shared" si="8"/>
        <v>1500</v>
      </c>
      <c r="V31" s="52">
        <f t="shared" si="29"/>
        <v>468.24</v>
      </c>
      <c r="W31" s="52">
        <f t="shared" si="30"/>
        <v>150</v>
      </c>
      <c r="X31" s="87">
        <f t="shared" si="31"/>
        <v>18.729600000000001</v>
      </c>
      <c r="Y31" s="53">
        <f t="shared" si="32"/>
        <v>636.96960000000001</v>
      </c>
      <c r="AA31" s="58">
        <f t="shared" si="9"/>
        <v>4</v>
      </c>
      <c r="AB31" s="52">
        <f t="shared" si="10"/>
        <v>26</v>
      </c>
      <c r="AC31" s="52">
        <f t="shared" si="11"/>
        <v>0</v>
      </c>
      <c r="AD31" s="54">
        <f t="shared" si="49"/>
        <v>0.15</v>
      </c>
      <c r="AE31" s="52">
        <f t="shared" si="12"/>
        <v>5250</v>
      </c>
      <c r="AF31" s="52">
        <f t="shared" si="33"/>
        <v>0</v>
      </c>
      <c r="AG31" s="52">
        <f t="shared" si="34"/>
        <v>0</v>
      </c>
      <c r="AH31" s="52">
        <f t="shared" si="13"/>
        <v>0</v>
      </c>
      <c r="AI31" s="53">
        <f t="shared" si="35"/>
        <v>0</v>
      </c>
      <c r="AK31" s="58">
        <f t="shared" si="36"/>
        <v>4</v>
      </c>
      <c r="AL31" s="52">
        <f t="shared" si="36"/>
        <v>26</v>
      </c>
      <c r="AM31" s="52">
        <f t="shared" si="14"/>
        <v>1</v>
      </c>
      <c r="AN31" s="54">
        <f t="shared" si="15"/>
        <v>0.13500000000000001</v>
      </c>
      <c r="AO31" s="54">
        <f t="shared" si="16"/>
        <v>0.18</v>
      </c>
      <c r="AP31" s="207">
        <f t="shared" si="37"/>
        <v>5250</v>
      </c>
      <c r="AQ31" s="52">
        <f t="shared" si="38"/>
        <v>2458.2600000000002</v>
      </c>
      <c r="AR31" s="52">
        <f t="shared" si="39"/>
        <v>787.5</v>
      </c>
      <c r="AS31" s="48">
        <f t="shared" si="40"/>
        <v>98.330400000000012</v>
      </c>
      <c r="AT31" s="53">
        <f t="shared" si="41"/>
        <v>3344.0904</v>
      </c>
      <c r="AV31" s="58">
        <f t="shared" si="17"/>
        <v>4</v>
      </c>
      <c r="AW31" s="52">
        <f t="shared" si="17"/>
        <v>26</v>
      </c>
      <c r="AX31" s="48">
        <v>1</v>
      </c>
      <c r="AY31" s="54">
        <f t="shared" si="18"/>
        <v>0.13500000000000001</v>
      </c>
      <c r="AZ31" s="54">
        <f t="shared" si="19"/>
        <v>0.18</v>
      </c>
      <c r="BA31" s="207">
        <f t="shared" si="42"/>
        <v>5250</v>
      </c>
      <c r="BB31" s="52">
        <f t="shared" si="43"/>
        <v>2458.2600000000002</v>
      </c>
      <c r="BC31" s="48">
        <f t="shared" si="44"/>
        <v>787.5</v>
      </c>
      <c r="BD31" s="48">
        <f t="shared" si="45"/>
        <v>98.330400000000012</v>
      </c>
      <c r="BE31" s="53">
        <f t="shared" si="46"/>
        <v>3344.0904</v>
      </c>
    </row>
    <row r="32" spans="2:65" ht="15.75" thickTop="1" thickBot="1">
      <c r="B32" s="58">
        <f t="shared" si="20"/>
        <v>5</v>
      </c>
      <c r="C32" s="52">
        <f t="shared" si="20"/>
        <v>26</v>
      </c>
      <c r="D32" s="185">
        <f t="shared" si="47"/>
        <v>1</v>
      </c>
      <c r="E32" s="48">
        <f t="shared" si="21"/>
        <v>700</v>
      </c>
      <c r="F32" s="205">
        <f t="shared" si="22"/>
        <v>7.5</v>
      </c>
      <c r="G32" s="192">
        <f t="shared" si="23"/>
        <v>5250</v>
      </c>
      <c r="I32" s="58">
        <f t="shared" si="24"/>
        <v>5</v>
      </c>
      <c r="J32" s="74">
        <f t="shared" si="25"/>
        <v>26</v>
      </c>
      <c r="K32" s="74">
        <f t="shared" si="3"/>
        <v>7.5</v>
      </c>
      <c r="L32" s="52">
        <f t="shared" si="26"/>
        <v>3750</v>
      </c>
      <c r="M32" s="74">
        <f t="shared" si="4"/>
        <v>1500</v>
      </c>
      <c r="N32" s="74">
        <f t="shared" si="27"/>
        <v>5250</v>
      </c>
      <c r="O32" s="180">
        <f t="shared" si="28"/>
        <v>700</v>
      </c>
      <c r="Q32" s="58">
        <f t="shared" si="5"/>
        <v>5</v>
      </c>
      <c r="R32" s="52">
        <f t="shared" si="6"/>
        <v>27</v>
      </c>
      <c r="S32" s="52">
        <f t="shared" si="7"/>
        <v>1</v>
      </c>
      <c r="T32" s="54">
        <f t="shared" si="48"/>
        <v>0.1</v>
      </c>
      <c r="U32" s="52">
        <f t="shared" si="8"/>
        <v>1500</v>
      </c>
      <c r="V32" s="52">
        <f t="shared" si="29"/>
        <v>636.96960000000001</v>
      </c>
      <c r="W32" s="52">
        <f t="shared" si="30"/>
        <v>150</v>
      </c>
      <c r="X32" s="87">
        <f t="shared" si="31"/>
        <v>25.478784000000001</v>
      </c>
      <c r="Y32" s="53">
        <f t="shared" si="32"/>
        <v>812.44838400000003</v>
      </c>
      <c r="AA32" s="58">
        <f t="shared" si="9"/>
        <v>5</v>
      </c>
      <c r="AB32" s="52">
        <f t="shared" si="10"/>
        <v>27</v>
      </c>
      <c r="AC32" s="52">
        <f t="shared" si="11"/>
        <v>0</v>
      </c>
      <c r="AD32" s="54">
        <f t="shared" si="49"/>
        <v>0.15</v>
      </c>
      <c r="AE32" s="52">
        <f t="shared" si="12"/>
        <v>5250</v>
      </c>
      <c r="AF32" s="52">
        <f t="shared" si="33"/>
        <v>0</v>
      </c>
      <c r="AG32" s="52">
        <f t="shared" si="34"/>
        <v>0</v>
      </c>
      <c r="AH32" s="52">
        <f t="shared" si="13"/>
        <v>0</v>
      </c>
      <c r="AI32" s="53">
        <f t="shared" si="35"/>
        <v>0</v>
      </c>
      <c r="AK32" s="58">
        <f t="shared" si="36"/>
        <v>5</v>
      </c>
      <c r="AL32" s="52">
        <f t="shared" si="36"/>
        <v>27</v>
      </c>
      <c r="AM32" s="52">
        <f t="shared" si="14"/>
        <v>1</v>
      </c>
      <c r="AN32" s="54">
        <f t="shared" si="15"/>
        <v>0.13500000000000001</v>
      </c>
      <c r="AO32" s="54">
        <f t="shared" si="16"/>
        <v>0.18</v>
      </c>
      <c r="AP32" s="207">
        <f t="shared" si="37"/>
        <v>5250</v>
      </c>
      <c r="AQ32" s="52">
        <f t="shared" si="38"/>
        <v>3344.0904</v>
      </c>
      <c r="AR32" s="52">
        <f t="shared" si="39"/>
        <v>787.5</v>
      </c>
      <c r="AS32" s="48">
        <f t="shared" si="40"/>
        <v>133.76361600000001</v>
      </c>
      <c r="AT32" s="53">
        <f t="shared" si="41"/>
        <v>4265.3540160000002</v>
      </c>
      <c r="AV32" s="58">
        <f t="shared" si="17"/>
        <v>5</v>
      </c>
      <c r="AW32" s="52">
        <f t="shared" si="17"/>
        <v>27</v>
      </c>
      <c r="AX32" s="48">
        <v>1</v>
      </c>
      <c r="AY32" s="54">
        <f t="shared" si="18"/>
        <v>0.13500000000000001</v>
      </c>
      <c r="AZ32" s="54">
        <f t="shared" si="19"/>
        <v>0.18</v>
      </c>
      <c r="BA32" s="207">
        <f t="shared" si="42"/>
        <v>5250</v>
      </c>
      <c r="BB32" s="52">
        <f t="shared" si="43"/>
        <v>3344.0904</v>
      </c>
      <c r="BC32" s="48">
        <f t="shared" si="44"/>
        <v>787.5</v>
      </c>
      <c r="BD32" s="48">
        <f t="shared" si="45"/>
        <v>133.76361600000001</v>
      </c>
      <c r="BE32" s="53">
        <f t="shared" si="46"/>
        <v>4265.3540160000002</v>
      </c>
    </row>
    <row r="33" spans="2:57" ht="15.75" thickTop="1" thickBot="1">
      <c r="B33" s="58">
        <f t="shared" si="20"/>
        <v>6</v>
      </c>
      <c r="C33" s="52">
        <f t="shared" si="20"/>
        <v>27</v>
      </c>
      <c r="D33" s="185">
        <f t="shared" si="47"/>
        <v>1</v>
      </c>
      <c r="E33" s="48">
        <f t="shared" si="21"/>
        <v>700</v>
      </c>
      <c r="F33" s="205">
        <f t="shared" si="22"/>
        <v>7.5</v>
      </c>
      <c r="G33" s="192">
        <f t="shared" si="23"/>
        <v>5250</v>
      </c>
      <c r="I33" s="58">
        <f t="shared" si="24"/>
        <v>6</v>
      </c>
      <c r="J33" s="74">
        <f t="shared" si="25"/>
        <v>27</v>
      </c>
      <c r="K33" s="74">
        <f t="shared" si="3"/>
        <v>7.5</v>
      </c>
      <c r="L33" s="52">
        <f t="shared" si="26"/>
        <v>3750</v>
      </c>
      <c r="M33" s="74">
        <f t="shared" si="4"/>
        <v>1500</v>
      </c>
      <c r="N33" s="74">
        <f t="shared" si="27"/>
        <v>5250</v>
      </c>
      <c r="O33" s="180">
        <f t="shared" si="28"/>
        <v>700</v>
      </c>
      <c r="Q33" s="58">
        <f t="shared" si="5"/>
        <v>6</v>
      </c>
      <c r="R33" s="52">
        <f t="shared" si="6"/>
        <v>28</v>
      </c>
      <c r="S33" s="52">
        <f t="shared" si="7"/>
        <v>1</v>
      </c>
      <c r="T33" s="54">
        <f t="shared" si="48"/>
        <v>0.1</v>
      </c>
      <c r="U33" s="52">
        <f t="shared" si="8"/>
        <v>1500</v>
      </c>
      <c r="V33" s="52">
        <f t="shared" si="29"/>
        <v>812.44838400000003</v>
      </c>
      <c r="W33" s="52">
        <f t="shared" si="30"/>
        <v>150</v>
      </c>
      <c r="X33" s="87">
        <f t="shared" si="31"/>
        <v>32.49793536</v>
      </c>
      <c r="Y33" s="53">
        <f t="shared" si="32"/>
        <v>994.94631936000007</v>
      </c>
      <c r="AA33" s="58">
        <f t="shared" si="9"/>
        <v>6</v>
      </c>
      <c r="AB33" s="52">
        <f t="shared" si="10"/>
        <v>28</v>
      </c>
      <c r="AC33" s="52">
        <f t="shared" si="11"/>
        <v>0</v>
      </c>
      <c r="AD33" s="54">
        <f t="shared" si="49"/>
        <v>0.15</v>
      </c>
      <c r="AE33" s="52">
        <f t="shared" si="12"/>
        <v>5250</v>
      </c>
      <c r="AF33" s="52">
        <f t="shared" si="33"/>
        <v>0</v>
      </c>
      <c r="AG33" s="52">
        <f t="shared" si="34"/>
        <v>0</v>
      </c>
      <c r="AH33" s="52">
        <f t="shared" si="13"/>
        <v>0</v>
      </c>
      <c r="AI33" s="53">
        <f t="shared" si="35"/>
        <v>0</v>
      </c>
      <c r="AK33" s="58">
        <f t="shared" si="36"/>
        <v>6</v>
      </c>
      <c r="AL33" s="52">
        <f t="shared" si="36"/>
        <v>28</v>
      </c>
      <c r="AM33" s="52">
        <f t="shared" si="14"/>
        <v>1</v>
      </c>
      <c r="AN33" s="54">
        <f t="shared" si="15"/>
        <v>0.13500000000000001</v>
      </c>
      <c r="AO33" s="54">
        <f t="shared" si="16"/>
        <v>0.18</v>
      </c>
      <c r="AP33" s="207">
        <f t="shared" si="37"/>
        <v>5250</v>
      </c>
      <c r="AQ33" s="52">
        <f t="shared" si="38"/>
        <v>4265.3540160000002</v>
      </c>
      <c r="AR33" s="52">
        <f t="shared" si="39"/>
        <v>787.5</v>
      </c>
      <c r="AS33" s="48">
        <f t="shared" si="40"/>
        <v>170.61416064000002</v>
      </c>
      <c r="AT33" s="53">
        <f t="shared" si="41"/>
        <v>5223.4681766399999</v>
      </c>
      <c r="AV33" s="58">
        <f t="shared" si="17"/>
        <v>6</v>
      </c>
      <c r="AW33" s="52">
        <f t="shared" si="17"/>
        <v>28</v>
      </c>
      <c r="AX33" s="48">
        <v>1</v>
      </c>
      <c r="AY33" s="54">
        <f t="shared" si="18"/>
        <v>0.13500000000000001</v>
      </c>
      <c r="AZ33" s="54">
        <f t="shared" si="19"/>
        <v>0.18</v>
      </c>
      <c r="BA33" s="207">
        <f t="shared" si="42"/>
        <v>5250</v>
      </c>
      <c r="BB33" s="52">
        <f t="shared" si="43"/>
        <v>4265.3540160000002</v>
      </c>
      <c r="BC33" s="48">
        <f t="shared" si="44"/>
        <v>787.5</v>
      </c>
      <c r="BD33" s="48">
        <f t="shared" si="45"/>
        <v>170.61416064000002</v>
      </c>
      <c r="BE33" s="53">
        <f t="shared" si="46"/>
        <v>5223.4681766399999</v>
      </c>
    </row>
    <row r="34" spans="2:57" ht="15.75" thickTop="1" thickBot="1">
      <c r="B34" s="58">
        <f t="shared" si="20"/>
        <v>7</v>
      </c>
      <c r="C34" s="52">
        <f t="shared" si="20"/>
        <v>28</v>
      </c>
      <c r="D34" s="185">
        <f t="shared" si="47"/>
        <v>1</v>
      </c>
      <c r="E34" s="48">
        <f t="shared" si="21"/>
        <v>700</v>
      </c>
      <c r="F34" s="205">
        <f t="shared" si="22"/>
        <v>7.5</v>
      </c>
      <c r="G34" s="192">
        <f t="shared" si="23"/>
        <v>5250</v>
      </c>
      <c r="I34" s="58">
        <f t="shared" si="24"/>
        <v>7</v>
      </c>
      <c r="J34" s="74">
        <f t="shared" si="25"/>
        <v>28</v>
      </c>
      <c r="K34" s="74">
        <f t="shared" si="3"/>
        <v>7.5</v>
      </c>
      <c r="L34" s="52">
        <f t="shared" si="26"/>
        <v>3750</v>
      </c>
      <c r="M34" s="74">
        <f t="shared" si="4"/>
        <v>1500</v>
      </c>
      <c r="N34" s="74">
        <f t="shared" si="27"/>
        <v>5250</v>
      </c>
      <c r="O34" s="180">
        <f t="shared" si="28"/>
        <v>700</v>
      </c>
      <c r="Q34" s="58">
        <f t="shared" si="5"/>
        <v>7</v>
      </c>
      <c r="R34" s="52">
        <f t="shared" si="6"/>
        <v>29</v>
      </c>
      <c r="S34" s="52">
        <f t="shared" si="7"/>
        <v>1</v>
      </c>
      <c r="T34" s="54">
        <f t="shared" si="48"/>
        <v>0.1</v>
      </c>
      <c r="U34" s="52">
        <f t="shared" si="8"/>
        <v>1500</v>
      </c>
      <c r="V34" s="52">
        <f t="shared" si="29"/>
        <v>994.94631936000007</v>
      </c>
      <c r="W34" s="52">
        <f t="shared" si="30"/>
        <v>150</v>
      </c>
      <c r="X34" s="87">
        <f t="shared" si="31"/>
        <v>39.797852774400006</v>
      </c>
      <c r="Y34" s="53">
        <f t="shared" si="32"/>
        <v>1184.7441721344001</v>
      </c>
      <c r="AA34" s="58">
        <f t="shared" si="9"/>
        <v>7</v>
      </c>
      <c r="AB34" s="52">
        <f t="shared" si="10"/>
        <v>29</v>
      </c>
      <c r="AC34" s="52">
        <f t="shared" si="11"/>
        <v>0</v>
      </c>
      <c r="AD34" s="54">
        <f t="shared" si="49"/>
        <v>0.15</v>
      </c>
      <c r="AE34" s="52">
        <f t="shared" si="12"/>
        <v>5250</v>
      </c>
      <c r="AF34" s="52">
        <f t="shared" si="33"/>
        <v>0</v>
      </c>
      <c r="AG34" s="52">
        <f t="shared" si="34"/>
        <v>0</v>
      </c>
      <c r="AH34" s="52">
        <f t="shared" si="13"/>
        <v>0</v>
      </c>
      <c r="AI34" s="53">
        <f t="shared" si="35"/>
        <v>0</v>
      </c>
      <c r="AK34" s="58">
        <f t="shared" si="36"/>
        <v>7</v>
      </c>
      <c r="AL34" s="52">
        <f t="shared" si="36"/>
        <v>29</v>
      </c>
      <c r="AM34" s="52">
        <f t="shared" si="14"/>
        <v>1</v>
      </c>
      <c r="AN34" s="54">
        <f t="shared" si="15"/>
        <v>0.13500000000000001</v>
      </c>
      <c r="AO34" s="54">
        <f t="shared" si="16"/>
        <v>0.18</v>
      </c>
      <c r="AP34" s="207">
        <f t="shared" si="37"/>
        <v>5250</v>
      </c>
      <c r="AQ34" s="52">
        <f t="shared" si="38"/>
        <v>5223.4681766399999</v>
      </c>
      <c r="AR34" s="52">
        <f t="shared" si="39"/>
        <v>787.5</v>
      </c>
      <c r="AS34" s="48">
        <f t="shared" si="40"/>
        <v>208.93872706560001</v>
      </c>
      <c r="AT34" s="53">
        <f t="shared" si="41"/>
        <v>6219.9069037055997</v>
      </c>
      <c r="AV34" s="58">
        <f t="shared" si="17"/>
        <v>7</v>
      </c>
      <c r="AW34" s="52">
        <f t="shared" si="17"/>
        <v>29</v>
      </c>
      <c r="AX34" s="48">
        <v>1</v>
      </c>
      <c r="AY34" s="54">
        <f t="shared" si="18"/>
        <v>0.13500000000000001</v>
      </c>
      <c r="AZ34" s="54">
        <f t="shared" si="19"/>
        <v>0.18</v>
      </c>
      <c r="BA34" s="207">
        <f t="shared" si="42"/>
        <v>5250</v>
      </c>
      <c r="BB34" s="52">
        <f t="shared" si="43"/>
        <v>5223.4681766399999</v>
      </c>
      <c r="BC34" s="48">
        <f t="shared" si="44"/>
        <v>787.5</v>
      </c>
      <c r="BD34" s="48">
        <f t="shared" si="45"/>
        <v>208.93872706560001</v>
      </c>
      <c r="BE34" s="53">
        <f t="shared" si="46"/>
        <v>6219.9069037055997</v>
      </c>
    </row>
    <row r="35" spans="2:57" ht="15.75" thickTop="1" thickBot="1">
      <c r="B35" s="58">
        <f t="shared" si="20"/>
        <v>8</v>
      </c>
      <c r="C35" s="52">
        <f t="shared" si="20"/>
        <v>29</v>
      </c>
      <c r="D35" s="185">
        <f t="shared" si="47"/>
        <v>1</v>
      </c>
      <c r="E35" s="48">
        <f t="shared" si="21"/>
        <v>700</v>
      </c>
      <c r="F35" s="205">
        <f t="shared" si="22"/>
        <v>7.5</v>
      </c>
      <c r="G35" s="192">
        <f t="shared" si="23"/>
        <v>5250</v>
      </c>
      <c r="I35" s="58">
        <f t="shared" si="24"/>
        <v>8</v>
      </c>
      <c r="J35" s="74">
        <f t="shared" si="25"/>
        <v>29</v>
      </c>
      <c r="K35" s="74">
        <f t="shared" si="3"/>
        <v>7.5</v>
      </c>
      <c r="L35" s="52">
        <f t="shared" si="26"/>
        <v>3750</v>
      </c>
      <c r="M35" s="74">
        <f t="shared" si="4"/>
        <v>1500</v>
      </c>
      <c r="N35" s="74">
        <f t="shared" si="27"/>
        <v>5250</v>
      </c>
      <c r="O35" s="180">
        <f t="shared" si="28"/>
        <v>700</v>
      </c>
      <c r="Q35" s="58">
        <f t="shared" si="5"/>
        <v>8</v>
      </c>
      <c r="R35" s="52">
        <f t="shared" si="6"/>
        <v>30</v>
      </c>
      <c r="S35" s="52">
        <f t="shared" si="7"/>
        <v>1</v>
      </c>
      <c r="T35" s="54">
        <f t="shared" si="48"/>
        <v>0.1</v>
      </c>
      <c r="U35" s="52">
        <f t="shared" si="8"/>
        <v>1500</v>
      </c>
      <c r="V35" s="52">
        <f t="shared" si="29"/>
        <v>1184.7441721344001</v>
      </c>
      <c r="W35" s="52">
        <f t="shared" si="30"/>
        <v>150</v>
      </c>
      <c r="X35" s="87">
        <f t="shared" si="31"/>
        <v>47.389766885376005</v>
      </c>
      <c r="Y35" s="53">
        <f t="shared" si="32"/>
        <v>1382.1339390197761</v>
      </c>
      <c r="AA35" s="58">
        <f t="shared" si="9"/>
        <v>8</v>
      </c>
      <c r="AB35" s="52">
        <f t="shared" si="10"/>
        <v>30</v>
      </c>
      <c r="AC35" s="52">
        <f t="shared" si="11"/>
        <v>0</v>
      </c>
      <c r="AD35" s="54">
        <f t="shared" si="49"/>
        <v>0.15</v>
      </c>
      <c r="AE35" s="52">
        <f t="shared" si="12"/>
        <v>5250</v>
      </c>
      <c r="AF35" s="52">
        <f t="shared" si="33"/>
        <v>0</v>
      </c>
      <c r="AG35" s="52">
        <f t="shared" si="34"/>
        <v>0</v>
      </c>
      <c r="AH35" s="52">
        <f t="shared" si="13"/>
        <v>0</v>
      </c>
      <c r="AI35" s="53">
        <f t="shared" si="35"/>
        <v>0</v>
      </c>
      <c r="AK35" s="58">
        <f t="shared" si="36"/>
        <v>8</v>
      </c>
      <c r="AL35" s="52">
        <f t="shared" si="36"/>
        <v>30</v>
      </c>
      <c r="AM35" s="52">
        <f t="shared" si="14"/>
        <v>1</v>
      </c>
      <c r="AN35" s="54">
        <f t="shared" si="15"/>
        <v>0.13500000000000001</v>
      </c>
      <c r="AO35" s="54">
        <f t="shared" si="16"/>
        <v>0.18</v>
      </c>
      <c r="AP35" s="207">
        <f t="shared" si="37"/>
        <v>5250</v>
      </c>
      <c r="AQ35" s="52">
        <f t="shared" si="38"/>
        <v>6219.9069037055997</v>
      </c>
      <c r="AR35" s="52">
        <f t="shared" si="39"/>
        <v>787.5</v>
      </c>
      <c r="AS35" s="48">
        <f t="shared" si="40"/>
        <v>248.796276148224</v>
      </c>
      <c r="AT35" s="53">
        <f t="shared" si="41"/>
        <v>7256.2031798538237</v>
      </c>
      <c r="AV35" s="58">
        <f t="shared" si="17"/>
        <v>8</v>
      </c>
      <c r="AW35" s="52">
        <f t="shared" si="17"/>
        <v>30</v>
      </c>
      <c r="AX35" s="48">
        <v>1</v>
      </c>
      <c r="AY35" s="54">
        <f t="shared" si="18"/>
        <v>0.13500000000000001</v>
      </c>
      <c r="AZ35" s="54">
        <f t="shared" si="19"/>
        <v>0.18</v>
      </c>
      <c r="BA35" s="207">
        <f t="shared" si="42"/>
        <v>5250</v>
      </c>
      <c r="BB35" s="52">
        <f t="shared" si="43"/>
        <v>6219.9069037055997</v>
      </c>
      <c r="BC35" s="48">
        <f t="shared" si="44"/>
        <v>787.5</v>
      </c>
      <c r="BD35" s="48">
        <f t="shared" si="45"/>
        <v>248.796276148224</v>
      </c>
      <c r="BE35" s="53">
        <f t="shared" si="46"/>
        <v>7256.2031798538237</v>
      </c>
    </row>
    <row r="36" spans="2:57" ht="15.75" thickTop="1" thickBot="1">
      <c r="B36" s="58">
        <f t="shared" si="20"/>
        <v>9</v>
      </c>
      <c r="C36" s="52">
        <f t="shared" si="20"/>
        <v>30</v>
      </c>
      <c r="D36" s="185">
        <f t="shared" si="47"/>
        <v>1</v>
      </c>
      <c r="E36" s="48">
        <f t="shared" si="21"/>
        <v>700</v>
      </c>
      <c r="F36" s="205">
        <f t="shared" si="22"/>
        <v>7.5</v>
      </c>
      <c r="G36" s="192">
        <f t="shared" si="23"/>
        <v>5250</v>
      </c>
      <c r="I36" s="58">
        <f t="shared" si="24"/>
        <v>9</v>
      </c>
      <c r="J36" s="74">
        <f t="shared" si="25"/>
        <v>30</v>
      </c>
      <c r="K36" s="74">
        <f t="shared" si="3"/>
        <v>7.5</v>
      </c>
      <c r="L36" s="52">
        <f t="shared" si="26"/>
        <v>3750</v>
      </c>
      <c r="M36" s="74">
        <f t="shared" si="4"/>
        <v>1500</v>
      </c>
      <c r="N36" s="74">
        <f t="shared" si="27"/>
        <v>5250</v>
      </c>
      <c r="O36" s="180">
        <f t="shared" si="28"/>
        <v>700</v>
      </c>
      <c r="Q36" s="58">
        <f t="shared" si="5"/>
        <v>9</v>
      </c>
      <c r="R36" s="52">
        <f t="shared" si="6"/>
        <v>31</v>
      </c>
      <c r="S36" s="52">
        <f t="shared" si="7"/>
        <v>1</v>
      </c>
      <c r="T36" s="54">
        <f t="shared" si="48"/>
        <v>0.1</v>
      </c>
      <c r="U36" s="52">
        <f t="shared" si="8"/>
        <v>1500</v>
      </c>
      <c r="V36" s="52">
        <f t="shared" si="29"/>
        <v>1382.1339390197761</v>
      </c>
      <c r="W36" s="52">
        <f t="shared" si="30"/>
        <v>150</v>
      </c>
      <c r="X36" s="87">
        <f t="shared" si="31"/>
        <v>55.285357560791049</v>
      </c>
      <c r="Y36" s="53">
        <f t="shared" si="32"/>
        <v>1587.4192965805671</v>
      </c>
      <c r="AA36" s="58">
        <f t="shared" si="9"/>
        <v>9</v>
      </c>
      <c r="AB36" s="52">
        <f t="shared" si="10"/>
        <v>31</v>
      </c>
      <c r="AC36" s="52">
        <f t="shared" si="11"/>
        <v>0</v>
      </c>
      <c r="AD36" s="54">
        <f t="shared" si="49"/>
        <v>0.15</v>
      </c>
      <c r="AE36" s="52">
        <f t="shared" si="12"/>
        <v>5250</v>
      </c>
      <c r="AF36" s="52">
        <f t="shared" si="33"/>
        <v>0</v>
      </c>
      <c r="AG36" s="52">
        <f t="shared" si="34"/>
        <v>0</v>
      </c>
      <c r="AH36" s="52">
        <f t="shared" si="13"/>
        <v>0</v>
      </c>
      <c r="AI36" s="53">
        <f t="shared" si="35"/>
        <v>0</v>
      </c>
      <c r="AK36" s="58">
        <f t="shared" si="36"/>
        <v>9</v>
      </c>
      <c r="AL36" s="52">
        <f t="shared" si="36"/>
        <v>31</v>
      </c>
      <c r="AM36" s="52">
        <f t="shared" si="14"/>
        <v>1</v>
      </c>
      <c r="AN36" s="54">
        <f t="shared" si="15"/>
        <v>0.13500000000000001</v>
      </c>
      <c r="AO36" s="54">
        <f t="shared" si="16"/>
        <v>0.18</v>
      </c>
      <c r="AP36" s="207">
        <f t="shared" si="37"/>
        <v>5250</v>
      </c>
      <c r="AQ36" s="52">
        <f t="shared" si="38"/>
        <v>7256.2031798538237</v>
      </c>
      <c r="AR36" s="52">
        <f t="shared" si="39"/>
        <v>787.5</v>
      </c>
      <c r="AS36" s="48">
        <f t="shared" si="40"/>
        <v>290.24812719415297</v>
      </c>
      <c r="AT36" s="53">
        <f t="shared" si="41"/>
        <v>8333.951307047977</v>
      </c>
      <c r="AV36" s="58">
        <f t="shared" si="17"/>
        <v>9</v>
      </c>
      <c r="AW36" s="52">
        <f t="shared" si="17"/>
        <v>31</v>
      </c>
      <c r="AX36" s="48">
        <v>1</v>
      </c>
      <c r="AY36" s="54">
        <f t="shared" si="18"/>
        <v>0.13500000000000001</v>
      </c>
      <c r="AZ36" s="54">
        <f t="shared" si="19"/>
        <v>0.18</v>
      </c>
      <c r="BA36" s="207">
        <f t="shared" si="42"/>
        <v>5250</v>
      </c>
      <c r="BB36" s="52">
        <f t="shared" si="43"/>
        <v>7256.2031798538237</v>
      </c>
      <c r="BC36" s="48">
        <f t="shared" si="44"/>
        <v>787.5</v>
      </c>
      <c r="BD36" s="48">
        <f t="shared" si="45"/>
        <v>290.24812719415297</v>
      </c>
      <c r="BE36" s="53">
        <f t="shared" si="46"/>
        <v>8333.951307047977</v>
      </c>
    </row>
    <row r="37" spans="2:57" ht="15.75" thickTop="1" thickBot="1">
      <c r="B37" s="58">
        <f t="shared" si="20"/>
        <v>10</v>
      </c>
      <c r="C37" s="52">
        <f t="shared" si="20"/>
        <v>31</v>
      </c>
      <c r="D37" s="185">
        <f t="shared" si="47"/>
        <v>1</v>
      </c>
      <c r="E37" s="48">
        <f t="shared" si="21"/>
        <v>700</v>
      </c>
      <c r="F37" s="205">
        <f t="shared" si="22"/>
        <v>7.5</v>
      </c>
      <c r="G37" s="192">
        <f t="shared" si="23"/>
        <v>5250</v>
      </c>
      <c r="I37" s="58">
        <f t="shared" si="24"/>
        <v>10</v>
      </c>
      <c r="J37" s="74">
        <f t="shared" si="25"/>
        <v>31</v>
      </c>
      <c r="K37" s="74">
        <f t="shared" si="3"/>
        <v>7.5</v>
      </c>
      <c r="L37" s="52">
        <f t="shared" si="26"/>
        <v>3750</v>
      </c>
      <c r="M37" s="74">
        <f t="shared" si="4"/>
        <v>1500</v>
      </c>
      <c r="N37" s="74">
        <f t="shared" si="27"/>
        <v>5250</v>
      </c>
      <c r="O37" s="180">
        <f t="shared" si="28"/>
        <v>700</v>
      </c>
      <c r="Q37" s="58">
        <f t="shared" si="5"/>
        <v>10</v>
      </c>
      <c r="R37" s="52">
        <f t="shared" si="6"/>
        <v>32</v>
      </c>
      <c r="S37" s="52">
        <f t="shared" si="7"/>
        <v>1</v>
      </c>
      <c r="T37" s="54">
        <f t="shared" si="48"/>
        <v>0.1</v>
      </c>
      <c r="U37" s="52">
        <f t="shared" si="8"/>
        <v>1500</v>
      </c>
      <c r="V37" s="52">
        <f t="shared" si="29"/>
        <v>1587.4192965805671</v>
      </c>
      <c r="W37" s="52">
        <f t="shared" si="30"/>
        <v>150</v>
      </c>
      <c r="X37" s="87">
        <f t="shared" si="31"/>
        <v>63.496771863222683</v>
      </c>
      <c r="Y37" s="53">
        <f t="shared" si="32"/>
        <v>1800.9160684437898</v>
      </c>
      <c r="AA37" s="58">
        <f t="shared" si="9"/>
        <v>10</v>
      </c>
      <c r="AB37" s="52">
        <f t="shared" si="10"/>
        <v>32</v>
      </c>
      <c r="AC37" s="52">
        <f t="shared" si="11"/>
        <v>0</v>
      </c>
      <c r="AD37" s="54">
        <f t="shared" si="49"/>
        <v>0.15</v>
      </c>
      <c r="AE37" s="52">
        <f t="shared" si="12"/>
        <v>5250</v>
      </c>
      <c r="AF37" s="52">
        <f t="shared" si="33"/>
        <v>0</v>
      </c>
      <c r="AG37" s="52">
        <f t="shared" si="34"/>
        <v>0</v>
      </c>
      <c r="AH37" s="52">
        <f t="shared" si="13"/>
        <v>0</v>
      </c>
      <c r="AI37" s="53">
        <f t="shared" si="35"/>
        <v>0</v>
      </c>
      <c r="AK37" s="58">
        <f t="shared" si="36"/>
        <v>10</v>
      </c>
      <c r="AL37" s="52">
        <f t="shared" si="36"/>
        <v>32</v>
      </c>
      <c r="AM37" s="52">
        <f t="shared" si="14"/>
        <v>1</v>
      </c>
      <c r="AN37" s="54">
        <f t="shared" si="15"/>
        <v>0.13500000000000001</v>
      </c>
      <c r="AO37" s="54">
        <f t="shared" si="16"/>
        <v>0.18</v>
      </c>
      <c r="AP37" s="207">
        <f t="shared" si="37"/>
        <v>5250</v>
      </c>
      <c r="AQ37" s="52">
        <f t="shared" si="38"/>
        <v>8333.951307047977</v>
      </c>
      <c r="AR37" s="52">
        <f t="shared" si="39"/>
        <v>787.5</v>
      </c>
      <c r="AS37" s="48">
        <f t="shared" si="40"/>
        <v>333.35805228191907</v>
      </c>
      <c r="AT37" s="53">
        <f t="shared" si="41"/>
        <v>9454.8093593298963</v>
      </c>
      <c r="AV37" s="58">
        <f t="shared" si="17"/>
        <v>10</v>
      </c>
      <c r="AW37" s="52">
        <f t="shared" si="17"/>
        <v>32</v>
      </c>
      <c r="AX37" s="48">
        <v>1</v>
      </c>
      <c r="AY37" s="54">
        <f t="shared" si="18"/>
        <v>0.13500000000000001</v>
      </c>
      <c r="AZ37" s="54">
        <f t="shared" si="19"/>
        <v>0.18</v>
      </c>
      <c r="BA37" s="207">
        <f t="shared" si="42"/>
        <v>5250</v>
      </c>
      <c r="BB37" s="52">
        <f t="shared" si="43"/>
        <v>8333.951307047977</v>
      </c>
      <c r="BC37" s="48">
        <f t="shared" si="44"/>
        <v>787.5</v>
      </c>
      <c r="BD37" s="48">
        <f t="shared" si="45"/>
        <v>333.35805228191907</v>
      </c>
      <c r="BE37" s="53">
        <f t="shared" si="46"/>
        <v>9454.8093593298963</v>
      </c>
    </row>
    <row r="38" spans="2:57" ht="15.75" thickTop="1" thickBot="1">
      <c r="B38" s="58">
        <f t="shared" si="20"/>
        <v>11</v>
      </c>
      <c r="C38" s="52">
        <f t="shared" si="20"/>
        <v>32</v>
      </c>
      <c r="D38" s="185">
        <f t="shared" si="47"/>
        <v>1</v>
      </c>
      <c r="E38" s="48">
        <f t="shared" si="21"/>
        <v>700</v>
      </c>
      <c r="F38" s="205">
        <f t="shared" si="22"/>
        <v>7.5</v>
      </c>
      <c r="G38" s="192">
        <f t="shared" si="23"/>
        <v>5250</v>
      </c>
      <c r="I38" s="58">
        <f t="shared" si="24"/>
        <v>11</v>
      </c>
      <c r="J38" s="74">
        <f t="shared" si="25"/>
        <v>32</v>
      </c>
      <c r="K38" s="74">
        <f t="shared" si="3"/>
        <v>7.5</v>
      </c>
      <c r="L38" s="52">
        <f t="shared" si="26"/>
        <v>3750</v>
      </c>
      <c r="M38" s="74">
        <f t="shared" si="4"/>
        <v>1500</v>
      </c>
      <c r="N38" s="74">
        <f t="shared" si="27"/>
        <v>5250</v>
      </c>
      <c r="O38" s="180">
        <f t="shared" si="28"/>
        <v>700</v>
      </c>
      <c r="Q38" s="58">
        <f t="shared" si="5"/>
        <v>11</v>
      </c>
      <c r="R38" s="52">
        <f t="shared" si="6"/>
        <v>33</v>
      </c>
      <c r="S38" s="52">
        <f t="shared" si="7"/>
        <v>1</v>
      </c>
      <c r="T38" s="54">
        <f t="shared" si="48"/>
        <v>0.1</v>
      </c>
      <c r="U38" s="52">
        <f t="shared" si="8"/>
        <v>1500</v>
      </c>
      <c r="V38" s="52">
        <f t="shared" si="29"/>
        <v>1800.9160684437898</v>
      </c>
      <c r="W38" s="52">
        <f t="shared" si="30"/>
        <v>150</v>
      </c>
      <c r="X38" s="87">
        <f t="shared" si="31"/>
        <v>72.036642737751592</v>
      </c>
      <c r="Y38" s="53">
        <f t="shared" si="32"/>
        <v>2022.9527111815414</v>
      </c>
      <c r="AA38" s="58">
        <f t="shared" si="9"/>
        <v>11</v>
      </c>
      <c r="AB38" s="52">
        <f t="shared" si="10"/>
        <v>33</v>
      </c>
      <c r="AC38" s="52">
        <f t="shared" si="11"/>
        <v>0</v>
      </c>
      <c r="AD38" s="54">
        <f t="shared" si="49"/>
        <v>0.15</v>
      </c>
      <c r="AE38" s="52">
        <f t="shared" si="12"/>
        <v>5250</v>
      </c>
      <c r="AF38" s="52">
        <f t="shared" si="33"/>
        <v>0</v>
      </c>
      <c r="AG38" s="52">
        <f t="shared" si="34"/>
        <v>0</v>
      </c>
      <c r="AH38" s="52">
        <f t="shared" si="13"/>
        <v>0</v>
      </c>
      <c r="AI38" s="53">
        <f t="shared" si="35"/>
        <v>0</v>
      </c>
      <c r="AK38" s="58">
        <f t="shared" si="36"/>
        <v>11</v>
      </c>
      <c r="AL38" s="52">
        <f t="shared" si="36"/>
        <v>33</v>
      </c>
      <c r="AM38" s="52">
        <f t="shared" si="14"/>
        <v>1</v>
      </c>
      <c r="AN38" s="54">
        <f t="shared" si="15"/>
        <v>0.13500000000000001</v>
      </c>
      <c r="AO38" s="54">
        <f t="shared" si="16"/>
        <v>0.18</v>
      </c>
      <c r="AP38" s="207">
        <f t="shared" si="37"/>
        <v>5250</v>
      </c>
      <c r="AQ38" s="52">
        <f t="shared" si="38"/>
        <v>9454.8093593298963</v>
      </c>
      <c r="AR38" s="52">
        <f t="shared" si="39"/>
        <v>787.5</v>
      </c>
      <c r="AS38" s="48">
        <f t="shared" si="40"/>
        <v>378.19237437319583</v>
      </c>
      <c r="AT38" s="53">
        <f t="shared" si="41"/>
        <v>10620.501733703091</v>
      </c>
      <c r="AV38" s="58">
        <f t="shared" si="17"/>
        <v>11</v>
      </c>
      <c r="AW38" s="52">
        <f t="shared" si="17"/>
        <v>33</v>
      </c>
      <c r="AX38" s="48">
        <v>1</v>
      </c>
      <c r="AY38" s="54">
        <f t="shared" si="18"/>
        <v>0.13500000000000001</v>
      </c>
      <c r="AZ38" s="54">
        <f t="shared" si="19"/>
        <v>0.18</v>
      </c>
      <c r="BA38" s="207">
        <f t="shared" si="42"/>
        <v>5250</v>
      </c>
      <c r="BB38" s="52">
        <f t="shared" si="43"/>
        <v>9454.8093593298963</v>
      </c>
      <c r="BC38" s="48">
        <f t="shared" si="44"/>
        <v>787.5</v>
      </c>
      <c r="BD38" s="48">
        <f t="shared" si="45"/>
        <v>378.19237437319583</v>
      </c>
      <c r="BE38" s="53">
        <f t="shared" si="46"/>
        <v>10620.501733703091</v>
      </c>
    </row>
    <row r="39" spans="2:57" ht="15.75" thickTop="1" thickBot="1">
      <c r="B39" s="58">
        <f t="shared" si="20"/>
        <v>12</v>
      </c>
      <c r="C39" s="52">
        <f t="shared" si="20"/>
        <v>33</v>
      </c>
      <c r="D39" s="185">
        <f t="shared" si="47"/>
        <v>1</v>
      </c>
      <c r="E39" s="48">
        <f t="shared" si="21"/>
        <v>700</v>
      </c>
      <c r="F39" s="205">
        <f t="shared" si="22"/>
        <v>7.5</v>
      </c>
      <c r="G39" s="192">
        <f t="shared" si="23"/>
        <v>5250</v>
      </c>
      <c r="I39" s="58">
        <f t="shared" si="24"/>
        <v>12</v>
      </c>
      <c r="J39" s="74">
        <f t="shared" si="25"/>
        <v>33</v>
      </c>
      <c r="K39" s="74">
        <f t="shared" si="3"/>
        <v>7.5</v>
      </c>
      <c r="L39" s="52">
        <f t="shared" si="26"/>
        <v>3750</v>
      </c>
      <c r="M39" s="74">
        <f t="shared" si="4"/>
        <v>1500</v>
      </c>
      <c r="N39" s="74">
        <f t="shared" si="27"/>
        <v>5250</v>
      </c>
      <c r="O39" s="180">
        <f t="shared" si="28"/>
        <v>700</v>
      </c>
      <c r="Q39" s="58">
        <f t="shared" si="5"/>
        <v>12</v>
      </c>
      <c r="R39" s="52">
        <f t="shared" si="6"/>
        <v>34</v>
      </c>
      <c r="S39" s="52">
        <f t="shared" si="7"/>
        <v>1</v>
      </c>
      <c r="T39" s="54">
        <f t="shared" si="48"/>
        <v>0.1</v>
      </c>
      <c r="U39" s="52">
        <f t="shared" si="8"/>
        <v>1500</v>
      </c>
      <c r="V39" s="52">
        <f t="shared" si="29"/>
        <v>2022.9527111815414</v>
      </c>
      <c r="W39" s="52">
        <f t="shared" si="30"/>
        <v>150</v>
      </c>
      <c r="X39" s="87">
        <f t="shared" si="31"/>
        <v>80.918108447261659</v>
      </c>
      <c r="Y39" s="53">
        <f t="shared" si="32"/>
        <v>2253.870819628803</v>
      </c>
      <c r="AA39" s="58">
        <f t="shared" si="9"/>
        <v>12</v>
      </c>
      <c r="AB39" s="52">
        <f t="shared" si="10"/>
        <v>34</v>
      </c>
      <c r="AC39" s="52">
        <f t="shared" si="11"/>
        <v>0</v>
      </c>
      <c r="AD39" s="54">
        <f t="shared" si="49"/>
        <v>0.15</v>
      </c>
      <c r="AE39" s="52">
        <f t="shared" si="12"/>
        <v>5250</v>
      </c>
      <c r="AF39" s="52">
        <f t="shared" si="33"/>
        <v>0</v>
      </c>
      <c r="AG39" s="52">
        <f t="shared" si="34"/>
        <v>0</v>
      </c>
      <c r="AH39" s="52">
        <f t="shared" si="13"/>
        <v>0</v>
      </c>
      <c r="AI39" s="53">
        <f t="shared" si="35"/>
        <v>0</v>
      </c>
      <c r="AK39" s="58">
        <f t="shared" si="36"/>
        <v>12</v>
      </c>
      <c r="AL39" s="52">
        <f t="shared" si="36"/>
        <v>34</v>
      </c>
      <c r="AM39" s="52">
        <f t="shared" si="14"/>
        <v>1</v>
      </c>
      <c r="AN39" s="54">
        <f t="shared" si="15"/>
        <v>0.13500000000000001</v>
      </c>
      <c r="AO39" s="54">
        <f t="shared" si="16"/>
        <v>0.18</v>
      </c>
      <c r="AP39" s="207">
        <f t="shared" si="37"/>
        <v>5250</v>
      </c>
      <c r="AQ39" s="52">
        <f t="shared" si="38"/>
        <v>10620.501733703091</v>
      </c>
      <c r="AR39" s="52">
        <f t="shared" si="39"/>
        <v>787.5</v>
      </c>
      <c r="AS39" s="48">
        <f t="shared" si="40"/>
        <v>424.82006934812364</v>
      </c>
      <c r="AT39" s="53">
        <f t="shared" si="41"/>
        <v>11832.821803051214</v>
      </c>
      <c r="AV39" s="58">
        <f t="shared" si="17"/>
        <v>12</v>
      </c>
      <c r="AW39" s="52">
        <f t="shared" si="17"/>
        <v>34</v>
      </c>
      <c r="AX39" s="48">
        <v>1</v>
      </c>
      <c r="AY39" s="54">
        <f t="shared" si="18"/>
        <v>0.13500000000000001</v>
      </c>
      <c r="AZ39" s="54">
        <f t="shared" si="19"/>
        <v>0.18</v>
      </c>
      <c r="BA39" s="207">
        <f t="shared" si="42"/>
        <v>5250</v>
      </c>
      <c r="BB39" s="52">
        <f t="shared" si="43"/>
        <v>10620.501733703091</v>
      </c>
      <c r="BC39" s="48">
        <f t="shared" si="44"/>
        <v>787.5</v>
      </c>
      <c r="BD39" s="48">
        <f t="shared" si="45"/>
        <v>424.82006934812364</v>
      </c>
      <c r="BE39" s="53">
        <f t="shared" si="46"/>
        <v>11832.821803051214</v>
      </c>
    </row>
    <row r="40" spans="2:57" ht="15.75" thickTop="1" thickBot="1">
      <c r="B40" s="58">
        <f t="shared" si="20"/>
        <v>13</v>
      </c>
      <c r="C40" s="52">
        <f t="shared" si="20"/>
        <v>34</v>
      </c>
      <c r="D40" s="185">
        <f t="shared" si="47"/>
        <v>1</v>
      </c>
      <c r="E40" s="48">
        <f t="shared" si="21"/>
        <v>700</v>
      </c>
      <c r="F40" s="205">
        <f t="shared" si="22"/>
        <v>7.5</v>
      </c>
      <c r="G40" s="192">
        <f t="shared" si="23"/>
        <v>5250</v>
      </c>
      <c r="I40" s="58">
        <f t="shared" si="24"/>
        <v>13</v>
      </c>
      <c r="J40" s="74">
        <f t="shared" si="25"/>
        <v>34</v>
      </c>
      <c r="K40" s="74">
        <f t="shared" si="3"/>
        <v>7.5</v>
      </c>
      <c r="L40" s="52">
        <f t="shared" si="26"/>
        <v>3750</v>
      </c>
      <c r="M40" s="74">
        <f t="shared" si="4"/>
        <v>1500</v>
      </c>
      <c r="N40" s="74">
        <f t="shared" si="27"/>
        <v>5250</v>
      </c>
      <c r="O40" s="180">
        <f t="shared" si="28"/>
        <v>700</v>
      </c>
      <c r="Q40" s="58">
        <f t="shared" si="5"/>
        <v>13</v>
      </c>
      <c r="R40" s="52">
        <f t="shared" si="6"/>
        <v>35</v>
      </c>
      <c r="S40" s="52">
        <f t="shared" si="7"/>
        <v>1</v>
      </c>
      <c r="T40" s="54">
        <f t="shared" si="48"/>
        <v>0.1</v>
      </c>
      <c r="U40" s="52">
        <f t="shared" si="8"/>
        <v>1500</v>
      </c>
      <c r="V40" s="52">
        <f t="shared" si="29"/>
        <v>2253.870819628803</v>
      </c>
      <c r="W40" s="52">
        <f t="shared" si="30"/>
        <v>150</v>
      </c>
      <c r="X40" s="87">
        <f t="shared" si="31"/>
        <v>90.154832785152124</v>
      </c>
      <c r="Y40" s="53">
        <f t="shared" si="32"/>
        <v>2494.025652413955</v>
      </c>
      <c r="AA40" s="58">
        <f t="shared" si="9"/>
        <v>13</v>
      </c>
      <c r="AB40" s="52">
        <f t="shared" si="10"/>
        <v>35</v>
      </c>
      <c r="AC40" s="52">
        <f t="shared" si="11"/>
        <v>0</v>
      </c>
      <c r="AD40" s="54">
        <f t="shared" si="49"/>
        <v>0.15</v>
      </c>
      <c r="AE40" s="52">
        <f t="shared" si="12"/>
        <v>5250</v>
      </c>
      <c r="AF40" s="52">
        <f t="shared" si="33"/>
        <v>0</v>
      </c>
      <c r="AG40" s="52">
        <f t="shared" si="34"/>
        <v>0</v>
      </c>
      <c r="AH40" s="52">
        <f t="shared" si="13"/>
        <v>0</v>
      </c>
      <c r="AI40" s="53">
        <f t="shared" si="35"/>
        <v>0</v>
      </c>
      <c r="AK40" s="58">
        <f t="shared" si="36"/>
        <v>13</v>
      </c>
      <c r="AL40" s="52">
        <f t="shared" si="36"/>
        <v>35</v>
      </c>
      <c r="AM40" s="52">
        <f t="shared" si="14"/>
        <v>1</v>
      </c>
      <c r="AN40" s="54">
        <f t="shared" si="15"/>
        <v>0.13500000000000001</v>
      </c>
      <c r="AO40" s="54">
        <f t="shared" si="16"/>
        <v>0.18</v>
      </c>
      <c r="AP40" s="207">
        <f t="shared" si="37"/>
        <v>5250</v>
      </c>
      <c r="AQ40" s="52">
        <f t="shared" si="38"/>
        <v>11832.821803051214</v>
      </c>
      <c r="AR40" s="52">
        <f t="shared" si="39"/>
        <v>787.5</v>
      </c>
      <c r="AS40" s="48">
        <f t="shared" si="40"/>
        <v>473.31287212204859</v>
      </c>
      <c r="AT40" s="53">
        <f t="shared" si="41"/>
        <v>13093.634675173264</v>
      </c>
      <c r="AV40" s="58">
        <f t="shared" si="17"/>
        <v>13</v>
      </c>
      <c r="AW40" s="52">
        <f t="shared" si="17"/>
        <v>35</v>
      </c>
      <c r="AX40" s="48">
        <v>1</v>
      </c>
      <c r="AY40" s="54">
        <f t="shared" si="18"/>
        <v>0.13500000000000001</v>
      </c>
      <c r="AZ40" s="54">
        <f t="shared" si="19"/>
        <v>0.18</v>
      </c>
      <c r="BA40" s="207">
        <f t="shared" si="42"/>
        <v>5250</v>
      </c>
      <c r="BB40" s="52">
        <f t="shared" si="43"/>
        <v>11832.821803051214</v>
      </c>
      <c r="BC40" s="48">
        <f t="shared" si="44"/>
        <v>787.5</v>
      </c>
      <c r="BD40" s="48">
        <f t="shared" si="45"/>
        <v>473.31287212204859</v>
      </c>
      <c r="BE40" s="53">
        <f t="shared" si="46"/>
        <v>13093.634675173264</v>
      </c>
    </row>
    <row r="41" spans="2:57" ht="15.75" thickTop="1" thickBot="1">
      <c r="B41" s="58">
        <f t="shared" si="20"/>
        <v>14</v>
      </c>
      <c r="C41" s="52">
        <f t="shared" si="20"/>
        <v>35</v>
      </c>
      <c r="D41" s="185">
        <f t="shared" si="47"/>
        <v>1</v>
      </c>
      <c r="E41" s="48">
        <f t="shared" si="21"/>
        <v>700</v>
      </c>
      <c r="F41" s="205">
        <f t="shared" si="22"/>
        <v>7.5</v>
      </c>
      <c r="G41" s="192">
        <f t="shared" si="23"/>
        <v>5250</v>
      </c>
      <c r="I41" s="58">
        <f t="shared" si="24"/>
        <v>14</v>
      </c>
      <c r="J41" s="74">
        <f t="shared" si="25"/>
        <v>35</v>
      </c>
      <c r="K41" s="74">
        <f t="shared" si="3"/>
        <v>7.5</v>
      </c>
      <c r="L41" s="52">
        <f t="shared" si="26"/>
        <v>3750</v>
      </c>
      <c r="M41" s="74">
        <f t="shared" si="4"/>
        <v>1500</v>
      </c>
      <c r="N41" s="74">
        <f t="shared" si="27"/>
        <v>5250</v>
      </c>
      <c r="O41" s="180">
        <f t="shared" si="28"/>
        <v>700</v>
      </c>
      <c r="Q41" s="58">
        <f t="shared" si="5"/>
        <v>14</v>
      </c>
      <c r="R41" s="52">
        <f t="shared" si="6"/>
        <v>36</v>
      </c>
      <c r="S41" s="52">
        <f t="shared" si="7"/>
        <v>1</v>
      </c>
      <c r="T41" s="54">
        <f t="shared" si="48"/>
        <v>0.1</v>
      </c>
      <c r="U41" s="52">
        <f t="shared" si="8"/>
        <v>1500</v>
      </c>
      <c r="V41" s="52">
        <f t="shared" si="29"/>
        <v>2494.025652413955</v>
      </c>
      <c r="W41" s="52">
        <f t="shared" si="30"/>
        <v>150</v>
      </c>
      <c r="X41" s="87">
        <f t="shared" si="31"/>
        <v>99.761026096558197</v>
      </c>
      <c r="Y41" s="53">
        <f t="shared" si="32"/>
        <v>2743.786678510513</v>
      </c>
      <c r="AA41" s="58">
        <f t="shared" si="9"/>
        <v>14</v>
      </c>
      <c r="AB41" s="52">
        <f t="shared" si="10"/>
        <v>36</v>
      </c>
      <c r="AC41" s="52">
        <f t="shared" si="11"/>
        <v>0</v>
      </c>
      <c r="AD41" s="54">
        <f t="shared" si="49"/>
        <v>0.15</v>
      </c>
      <c r="AE41" s="52">
        <f t="shared" si="12"/>
        <v>5250</v>
      </c>
      <c r="AF41" s="52">
        <f t="shared" si="33"/>
        <v>0</v>
      </c>
      <c r="AG41" s="52">
        <f t="shared" si="34"/>
        <v>0</v>
      </c>
      <c r="AH41" s="52">
        <f t="shared" si="13"/>
        <v>0</v>
      </c>
      <c r="AI41" s="53">
        <f t="shared" si="35"/>
        <v>0</v>
      </c>
      <c r="AK41" s="58">
        <f t="shared" si="36"/>
        <v>14</v>
      </c>
      <c r="AL41" s="52">
        <f t="shared" si="36"/>
        <v>36</v>
      </c>
      <c r="AM41" s="52">
        <f t="shared" si="14"/>
        <v>1</v>
      </c>
      <c r="AN41" s="54">
        <f t="shared" si="15"/>
        <v>0.13500000000000001</v>
      </c>
      <c r="AO41" s="54">
        <f t="shared" si="16"/>
        <v>0.18</v>
      </c>
      <c r="AP41" s="207">
        <f t="shared" si="37"/>
        <v>5250</v>
      </c>
      <c r="AQ41" s="52">
        <f t="shared" si="38"/>
        <v>13093.634675173264</v>
      </c>
      <c r="AR41" s="52">
        <f t="shared" si="39"/>
        <v>787.5</v>
      </c>
      <c r="AS41" s="48">
        <f t="shared" si="40"/>
        <v>523.74538700693051</v>
      </c>
      <c r="AT41" s="53">
        <f t="shared" si="41"/>
        <v>14404.880062180195</v>
      </c>
      <c r="AV41" s="58">
        <f t="shared" si="17"/>
        <v>14</v>
      </c>
      <c r="AW41" s="52">
        <f t="shared" si="17"/>
        <v>36</v>
      </c>
      <c r="AX41" s="48">
        <v>1</v>
      </c>
      <c r="AY41" s="54">
        <f t="shared" si="18"/>
        <v>0.13500000000000001</v>
      </c>
      <c r="AZ41" s="54">
        <f t="shared" si="19"/>
        <v>0.18</v>
      </c>
      <c r="BA41" s="207">
        <f t="shared" si="42"/>
        <v>5250</v>
      </c>
      <c r="BB41" s="52">
        <f t="shared" si="43"/>
        <v>13093.634675173264</v>
      </c>
      <c r="BC41" s="48">
        <f t="shared" si="44"/>
        <v>787.5</v>
      </c>
      <c r="BD41" s="48">
        <f t="shared" si="45"/>
        <v>523.74538700693051</v>
      </c>
      <c r="BE41" s="53">
        <f t="shared" si="46"/>
        <v>14404.880062180195</v>
      </c>
    </row>
    <row r="42" spans="2:57" ht="15.75" thickTop="1" thickBot="1">
      <c r="B42" s="58">
        <f t="shared" si="20"/>
        <v>15</v>
      </c>
      <c r="C42" s="52">
        <f t="shared" si="20"/>
        <v>36</v>
      </c>
      <c r="D42" s="185">
        <f t="shared" si="47"/>
        <v>1</v>
      </c>
      <c r="E42" s="48">
        <f t="shared" si="21"/>
        <v>700</v>
      </c>
      <c r="F42" s="205">
        <f t="shared" si="22"/>
        <v>7.5</v>
      </c>
      <c r="G42" s="192">
        <f t="shared" si="23"/>
        <v>5250</v>
      </c>
      <c r="I42" s="58">
        <f t="shared" si="24"/>
        <v>15</v>
      </c>
      <c r="J42" s="74">
        <f t="shared" si="25"/>
        <v>36</v>
      </c>
      <c r="K42" s="74">
        <f t="shared" si="3"/>
        <v>7.5</v>
      </c>
      <c r="L42" s="52">
        <f t="shared" si="26"/>
        <v>3750</v>
      </c>
      <c r="M42" s="74">
        <f t="shared" si="4"/>
        <v>1500</v>
      </c>
      <c r="N42" s="74">
        <f t="shared" si="27"/>
        <v>5250</v>
      </c>
      <c r="O42" s="180">
        <f t="shared" si="28"/>
        <v>700</v>
      </c>
      <c r="Q42" s="58">
        <f t="shared" si="5"/>
        <v>15</v>
      </c>
      <c r="R42" s="52">
        <f t="shared" si="6"/>
        <v>37</v>
      </c>
      <c r="S42" s="52">
        <f t="shared" si="7"/>
        <v>1</v>
      </c>
      <c r="T42" s="54">
        <f t="shared" si="48"/>
        <v>0.1</v>
      </c>
      <c r="U42" s="52">
        <f t="shared" si="8"/>
        <v>1500</v>
      </c>
      <c r="V42" s="52">
        <f t="shared" si="29"/>
        <v>2743.786678510513</v>
      </c>
      <c r="W42" s="52">
        <f t="shared" si="30"/>
        <v>150</v>
      </c>
      <c r="X42" s="87">
        <f t="shared" si="31"/>
        <v>109.75146714042052</v>
      </c>
      <c r="Y42" s="53">
        <f t="shared" si="32"/>
        <v>3003.5381456509335</v>
      </c>
      <c r="AA42" s="58">
        <f t="shared" si="9"/>
        <v>15</v>
      </c>
      <c r="AB42" s="52">
        <f t="shared" si="10"/>
        <v>37</v>
      </c>
      <c r="AC42" s="52">
        <f t="shared" si="11"/>
        <v>0</v>
      </c>
      <c r="AD42" s="54">
        <f t="shared" si="49"/>
        <v>0.15</v>
      </c>
      <c r="AE42" s="52">
        <f t="shared" si="12"/>
        <v>5250</v>
      </c>
      <c r="AF42" s="52">
        <f t="shared" si="33"/>
        <v>0</v>
      </c>
      <c r="AG42" s="52">
        <f t="shared" si="34"/>
        <v>0</v>
      </c>
      <c r="AH42" s="52">
        <f t="shared" si="13"/>
        <v>0</v>
      </c>
      <c r="AI42" s="53">
        <f t="shared" si="35"/>
        <v>0</v>
      </c>
      <c r="AK42" s="58">
        <f t="shared" si="36"/>
        <v>15</v>
      </c>
      <c r="AL42" s="52">
        <f t="shared" si="36"/>
        <v>37</v>
      </c>
      <c r="AM42" s="52">
        <f t="shared" si="14"/>
        <v>1</v>
      </c>
      <c r="AN42" s="54">
        <f t="shared" si="15"/>
        <v>0.13500000000000001</v>
      </c>
      <c r="AO42" s="54">
        <f t="shared" si="16"/>
        <v>0.18</v>
      </c>
      <c r="AP42" s="207">
        <f t="shared" si="37"/>
        <v>5250</v>
      </c>
      <c r="AQ42" s="52">
        <f t="shared" si="38"/>
        <v>14404.880062180195</v>
      </c>
      <c r="AR42" s="52">
        <f t="shared" si="39"/>
        <v>787.5</v>
      </c>
      <c r="AS42" s="48">
        <f t="shared" si="40"/>
        <v>576.19520248720778</v>
      </c>
      <c r="AT42" s="53">
        <f t="shared" si="41"/>
        <v>15768.575264667403</v>
      </c>
      <c r="AV42" s="58">
        <f t="shared" si="17"/>
        <v>15</v>
      </c>
      <c r="AW42" s="52">
        <f t="shared" si="17"/>
        <v>37</v>
      </c>
      <c r="AX42" s="48">
        <v>1</v>
      </c>
      <c r="AY42" s="54">
        <f t="shared" si="18"/>
        <v>0.13500000000000001</v>
      </c>
      <c r="AZ42" s="54">
        <f t="shared" si="19"/>
        <v>0.18</v>
      </c>
      <c r="BA42" s="207">
        <f t="shared" si="42"/>
        <v>5250</v>
      </c>
      <c r="BB42" s="52">
        <f t="shared" si="43"/>
        <v>14404.880062180195</v>
      </c>
      <c r="BC42" s="48">
        <f t="shared" si="44"/>
        <v>787.5</v>
      </c>
      <c r="BD42" s="48">
        <f t="shared" si="45"/>
        <v>576.19520248720778</v>
      </c>
      <c r="BE42" s="53">
        <f t="shared" si="46"/>
        <v>15768.575264667403</v>
      </c>
    </row>
    <row r="43" spans="2:57" ht="15.75" thickTop="1" thickBot="1">
      <c r="B43" s="58">
        <f t="shared" si="20"/>
        <v>16</v>
      </c>
      <c r="C43" s="52">
        <f t="shared" si="20"/>
        <v>37</v>
      </c>
      <c r="D43" s="185">
        <f t="shared" si="47"/>
        <v>1</v>
      </c>
      <c r="E43" s="48">
        <f t="shared" si="21"/>
        <v>700</v>
      </c>
      <c r="F43" s="205">
        <f t="shared" si="22"/>
        <v>7.5</v>
      </c>
      <c r="G43" s="192">
        <f t="shared" si="23"/>
        <v>5250</v>
      </c>
      <c r="I43" s="58">
        <f t="shared" si="24"/>
        <v>16</v>
      </c>
      <c r="J43" s="74">
        <f t="shared" si="25"/>
        <v>37</v>
      </c>
      <c r="K43" s="74">
        <f t="shared" si="3"/>
        <v>7.5</v>
      </c>
      <c r="L43" s="52">
        <f t="shared" si="26"/>
        <v>3750</v>
      </c>
      <c r="M43" s="74">
        <f t="shared" si="4"/>
        <v>1500</v>
      </c>
      <c r="N43" s="74">
        <f t="shared" si="27"/>
        <v>5250</v>
      </c>
      <c r="O43" s="180">
        <f t="shared" si="28"/>
        <v>700</v>
      </c>
      <c r="Q43" s="58">
        <f t="shared" si="5"/>
        <v>16</v>
      </c>
      <c r="R43" s="52">
        <f t="shared" si="6"/>
        <v>38</v>
      </c>
      <c r="S43" s="52">
        <f t="shared" si="7"/>
        <v>1</v>
      </c>
      <c r="T43" s="54">
        <f t="shared" si="48"/>
        <v>0.1</v>
      </c>
      <c r="U43" s="52">
        <f t="shared" si="8"/>
        <v>1500</v>
      </c>
      <c r="V43" s="52">
        <f t="shared" si="29"/>
        <v>3003.5381456509335</v>
      </c>
      <c r="W43" s="52">
        <f t="shared" si="30"/>
        <v>150</v>
      </c>
      <c r="X43" s="87">
        <f t="shared" si="31"/>
        <v>120.14152582603734</v>
      </c>
      <c r="Y43" s="53">
        <f t="shared" si="32"/>
        <v>3273.6796714769707</v>
      </c>
      <c r="AA43" s="58">
        <f t="shared" si="9"/>
        <v>16</v>
      </c>
      <c r="AB43" s="52">
        <f t="shared" si="10"/>
        <v>38</v>
      </c>
      <c r="AC43" s="52">
        <f t="shared" si="11"/>
        <v>0</v>
      </c>
      <c r="AD43" s="54">
        <f t="shared" si="49"/>
        <v>0.15</v>
      </c>
      <c r="AE43" s="52">
        <f t="shared" si="12"/>
        <v>5250</v>
      </c>
      <c r="AF43" s="52">
        <f t="shared" si="33"/>
        <v>0</v>
      </c>
      <c r="AG43" s="52">
        <f t="shared" si="34"/>
        <v>0</v>
      </c>
      <c r="AH43" s="52">
        <f t="shared" si="13"/>
        <v>0</v>
      </c>
      <c r="AI43" s="53">
        <f t="shared" si="35"/>
        <v>0</v>
      </c>
      <c r="AK43" s="58">
        <f t="shared" si="36"/>
        <v>16</v>
      </c>
      <c r="AL43" s="52">
        <f t="shared" si="36"/>
        <v>38</v>
      </c>
      <c r="AM43" s="52">
        <f t="shared" si="14"/>
        <v>1</v>
      </c>
      <c r="AN43" s="54">
        <f t="shared" si="15"/>
        <v>0.13500000000000001</v>
      </c>
      <c r="AO43" s="54">
        <f t="shared" si="16"/>
        <v>0.18</v>
      </c>
      <c r="AP43" s="207">
        <f t="shared" si="37"/>
        <v>5250</v>
      </c>
      <c r="AQ43" s="52">
        <f t="shared" si="38"/>
        <v>15768.575264667403</v>
      </c>
      <c r="AR43" s="52">
        <f t="shared" si="39"/>
        <v>787.5</v>
      </c>
      <c r="AS43" s="48">
        <f t="shared" si="40"/>
        <v>630.74301058669607</v>
      </c>
      <c r="AT43" s="53">
        <f t="shared" si="41"/>
        <v>17186.818275254096</v>
      </c>
      <c r="AV43" s="58">
        <f t="shared" si="17"/>
        <v>16</v>
      </c>
      <c r="AW43" s="52">
        <f t="shared" si="17"/>
        <v>38</v>
      </c>
      <c r="AX43" s="48">
        <v>1</v>
      </c>
      <c r="AY43" s="54">
        <f t="shared" si="18"/>
        <v>0.13500000000000001</v>
      </c>
      <c r="AZ43" s="54">
        <f t="shared" si="19"/>
        <v>0.18</v>
      </c>
      <c r="BA43" s="207">
        <f t="shared" si="42"/>
        <v>5250</v>
      </c>
      <c r="BB43" s="52">
        <f t="shared" si="43"/>
        <v>15768.575264667403</v>
      </c>
      <c r="BC43" s="48">
        <f t="shared" si="44"/>
        <v>787.5</v>
      </c>
      <c r="BD43" s="48">
        <f t="shared" si="45"/>
        <v>630.74301058669607</v>
      </c>
      <c r="BE43" s="53">
        <f t="shared" si="46"/>
        <v>17186.818275254096</v>
      </c>
    </row>
    <row r="44" spans="2:57" ht="15.75" thickTop="1" thickBot="1">
      <c r="B44" s="58">
        <f t="shared" si="20"/>
        <v>17</v>
      </c>
      <c r="C44" s="52">
        <f t="shared" si="20"/>
        <v>38</v>
      </c>
      <c r="D44" s="185">
        <f t="shared" si="47"/>
        <v>1</v>
      </c>
      <c r="E44" s="48">
        <f t="shared" si="21"/>
        <v>700</v>
      </c>
      <c r="F44" s="205">
        <f t="shared" si="22"/>
        <v>7.5</v>
      </c>
      <c r="G44" s="192">
        <f t="shared" si="23"/>
        <v>5250</v>
      </c>
      <c r="I44" s="58">
        <f t="shared" si="24"/>
        <v>17</v>
      </c>
      <c r="J44" s="74">
        <f t="shared" si="25"/>
        <v>38</v>
      </c>
      <c r="K44" s="74">
        <f t="shared" si="3"/>
        <v>7.5</v>
      </c>
      <c r="L44" s="52">
        <f t="shared" si="26"/>
        <v>3750</v>
      </c>
      <c r="M44" s="74">
        <f t="shared" si="4"/>
        <v>1500</v>
      </c>
      <c r="N44" s="74">
        <f t="shared" si="27"/>
        <v>5250</v>
      </c>
      <c r="O44" s="180">
        <f t="shared" si="28"/>
        <v>700</v>
      </c>
      <c r="Q44" s="58">
        <f t="shared" si="5"/>
        <v>17</v>
      </c>
      <c r="R44" s="52">
        <f t="shared" si="6"/>
        <v>39</v>
      </c>
      <c r="S44" s="52">
        <f t="shared" si="7"/>
        <v>1</v>
      </c>
      <c r="T44" s="54">
        <f t="shared" si="48"/>
        <v>0.1</v>
      </c>
      <c r="U44" s="52">
        <f t="shared" si="8"/>
        <v>1500</v>
      </c>
      <c r="V44" s="52">
        <f t="shared" si="29"/>
        <v>3273.6796714769707</v>
      </c>
      <c r="W44" s="52">
        <f t="shared" si="30"/>
        <v>150</v>
      </c>
      <c r="X44" s="87">
        <f t="shared" si="31"/>
        <v>130.94718685907884</v>
      </c>
      <c r="Y44" s="53">
        <f t="shared" si="32"/>
        <v>3554.6268583360497</v>
      </c>
      <c r="AA44" s="58">
        <f t="shared" si="9"/>
        <v>17</v>
      </c>
      <c r="AB44" s="52">
        <f t="shared" si="10"/>
        <v>39</v>
      </c>
      <c r="AC44" s="52">
        <f t="shared" si="11"/>
        <v>0</v>
      </c>
      <c r="AD44" s="54">
        <f t="shared" si="49"/>
        <v>0.15</v>
      </c>
      <c r="AE44" s="52">
        <f t="shared" si="12"/>
        <v>5250</v>
      </c>
      <c r="AF44" s="52">
        <f t="shared" si="33"/>
        <v>0</v>
      </c>
      <c r="AG44" s="52">
        <f t="shared" si="34"/>
        <v>0</v>
      </c>
      <c r="AH44" s="52">
        <f t="shared" si="13"/>
        <v>0</v>
      </c>
      <c r="AI44" s="53">
        <f t="shared" si="35"/>
        <v>0</v>
      </c>
      <c r="AK44" s="58">
        <f t="shared" si="36"/>
        <v>17</v>
      </c>
      <c r="AL44" s="52">
        <f t="shared" si="36"/>
        <v>39</v>
      </c>
      <c r="AM44" s="52">
        <f t="shared" si="14"/>
        <v>1</v>
      </c>
      <c r="AN44" s="54">
        <f t="shared" si="15"/>
        <v>0.13500000000000001</v>
      </c>
      <c r="AO44" s="54">
        <f t="shared" si="16"/>
        <v>0.18</v>
      </c>
      <c r="AP44" s="207">
        <f t="shared" si="37"/>
        <v>5250</v>
      </c>
      <c r="AQ44" s="52">
        <f t="shared" si="38"/>
        <v>17186.818275254096</v>
      </c>
      <c r="AR44" s="52">
        <f t="shared" si="39"/>
        <v>787.5</v>
      </c>
      <c r="AS44" s="48">
        <f t="shared" si="40"/>
        <v>687.4727310101639</v>
      </c>
      <c r="AT44" s="53">
        <f t="shared" si="41"/>
        <v>18661.791006264259</v>
      </c>
      <c r="AV44" s="58">
        <f t="shared" si="17"/>
        <v>17</v>
      </c>
      <c r="AW44" s="52">
        <f t="shared" si="17"/>
        <v>39</v>
      </c>
      <c r="AX44" s="48">
        <v>1</v>
      </c>
      <c r="AY44" s="54">
        <f t="shared" si="18"/>
        <v>0.13500000000000001</v>
      </c>
      <c r="AZ44" s="54">
        <f t="shared" si="19"/>
        <v>0.18</v>
      </c>
      <c r="BA44" s="207">
        <f t="shared" si="42"/>
        <v>5250</v>
      </c>
      <c r="BB44" s="52">
        <f t="shared" si="43"/>
        <v>17186.818275254096</v>
      </c>
      <c r="BC44" s="48">
        <f t="shared" si="44"/>
        <v>787.5</v>
      </c>
      <c r="BD44" s="48">
        <f t="shared" si="45"/>
        <v>687.4727310101639</v>
      </c>
      <c r="BE44" s="53">
        <f t="shared" si="46"/>
        <v>18661.791006264259</v>
      </c>
    </row>
    <row r="45" spans="2:57" ht="15.75" thickTop="1" thickBot="1">
      <c r="B45" s="124">
        <f t="shared" ref="B45:C60" si="50">+B44+1</f>
        <v>18</v>
      </c>
      <c r="C45" s="125">
        <f t="shared" si="50"/>
        <v>39</v>
      </c>
      <c r="D45" s="185">
        <f t="shared" si="47"/>
        <v>1</v>
      </c>
      <c r="E45" s="48">
        <f t="shared" si="21"/>
        <v>700</v>
      </c>
      <c r="F45" s="205">
        <f t="shared" si="22"/>
        <v>7.5</v>
      </c>
      <c r="G45" s="192">
        <f t="shared" si="23"/>
        <v>5250</v>
      </c>
      <c r="I45" s="124">
        <f t="shared" si="24"/>
        <v>18</v>
      </c>
      <c r="J45" s="129">
        <f t="shared" si="25"/>
        <v>39</v>
      </c>
      <c r="K45" s="129">
        <f t="shared" si="3"/>
        <v>7.5</v>
      </c>
      <c r="L45" s="125">
        <f t="shared" si="26"/>
        <v>3750</v>
      </c>
      <c r="M45" s="129">
        <f t="shared" si="4"/>
        <v>1500</v>
      </c>
      <c r="N45" s="74">
        <f t="shared" si="27"/>
        <v>5250</v>
      </c>
      <c r="O45" s="180">
        <f t="shared" si="28"/>
        <v>700</v>
      </c>
      <c r="Q45" s="124">
        <f t="shared" si="5"/>
        <v>18</v>
      </c>
      <c r="R45" s="125">
        <f t="shared" si="6"/>
        <v>40</v>
      </c>
      <c r="S45" s="125">
        <f t="shared" si="7"/>
        <v>1</v>
      </c>
      <c r="T45" s="126">
        <f t="shared" si="48"/>
        <v>0.1</v>
      </c>
      <c r="U45" s="125">
        <f t="shared" si="8"/>
        <v>1500</v>
      </c>
      <c r="V45" s="125">
        <f t="shared" si="29"/>
        <v>3554.6268583360497</v>
      </c>
      <c r="W45" s="125">
        <f t="shared" si="30"/>
        <v>150</v>
      </c>
      <c r="X45" s="87">
        <f t="shared" si="31"/>
        <v>142.185074333442</v>
      </c>
      <c r="Y45" s="128">
        <f t="shared" si="32"/>
        <v>3846.8119326694919</v>
      </c>
      <c r="AA45" s="124">
        <f t="shared" si="9"/>
        <v>18</v>
      </c>
      <c r="AB45" s="125">
        <f t="shared" si="10"/>
        <v>40</v>
      </c>
      <c r="AC45" s="125">
        <f t="shared" si="11"/>
        <v>0</v>
      </c>
      <c r="AD45" s="126">
        <f t="shared" si="49"/>
        <v>0.15</v>
      </c>
      <c r="AE45" s="125">
        <f t="shared" si="12"/>
        <v>5250</v>
      </c>
      <c r="AF45" s="125">
        <f t="shared" si="33"/>
        <v>0</v>
      </c>
      <c r="AG45" s="125">
        <f t="shared" si="34"/>
        <v>0</v>
      </c>
      <c r="AH45" s="125">
        <f t="shared" si="13"/>
        <v>0</v>
      </c>
      <c r="AI45" s="128">
        <f t="shared" si="35"/>
        <v>0</v>
      </c>
      <c r="AK45" s="124">
        <f t="shared" si="36"/>
        <v>18</v>
      </c>
      <c r="AL45" s="125">
        <f t="shared" si="36"/>
        <v>40</v>
      </c>
      <c r="AM45" s="125">
        <f t="shared" si="14"/>
        <v>1</v>
      </c>
      <c r="AN45" s="126">
        <f t="shared" si="15"/>
        <v>0.13500000000000001</v>
      </c>
      <c r="AO45" s="126">
        <f t="shared" si="16"/>
        <v>0.18</v>
      </c>
      <c r="AP45" s="207">
        <f t="shared" si="37"/>
        <v>5250</v>
      </c>
      <c r="AQ45" s="125">
        <f t="shared" si="38"/>
        <v>18661.791006264259</v>
      </c>
      <c r="AR45" s="52">
        <f t="shared" si="39"/>
        <v>787.5</v>
      </c>
      <c r="AS45" s="48">
        <f t="shared" si="40"/>
        <v>746.47164025057032</v>
      </c>
      <c r="AT45" s="128">
        <f t="shared" si="41"/>
        <v>20195.762646514828</v>
      </c>
      <c r="AV45" s="124">
        <f t="shared" si="17"/>
        <v>18</v>
      </c>
      <c r="AW45" s="125">
        <f t="shared" si="17"/>
        <v>40</v>
      </c>
      <c r="AX45" s="48">
        <v>1</v>
      </c>
      <c r="AY45" s="126">
        <f t="shared" si="18"/>
        <v>0.13500000000000001</v>
      </c>
      <c r="AZ45" s="126">
        <f t="shared" si="19"/>
        <v>0.18</v>
      </c>
      <c r="BA45" s="207">
        <f t="shared" si="42"/>
        <v>5250</v>
      </c>
      <c r="BB45" s="125">
        <f t="shared" si="43"/>
        <v>18661.791006264259</v>
      </c>
      <c r="BC45" s="48">
        <f t="shared" si="44"/>
        <v>787.5</v>
      </c>
      <c r="BD45" s="48">
        <f t="shared" si="45"/>
        <v>746.47164025057032</v>
      </c>
      <c r="BE45" s="128">
        <f t="shared" si="46"/>
        <v>20195.762646514828</v>
      </c>
    </row>
    <row r="46" spans="2:57" ht="15.75" thickTop="1" thickBot="1">
      <c r="B46" s="58">
        <f t="shared" si="50"/>
        <v>19</v>
      </c>
      <c r="C46" s="52">
        <f t="shared" si="50"/>
        <v>40</v>
      </c>
      <c r="D46" s="185">
        <f t="shared" si="47"/>
        <v>1</v>
      </c>
      <c r="E46" s="48">
        <f t="shared" si="21"/>
        <v>700</v>
      </c>
      <c r="F46" s="205">
        <f t="shared" si="22"/>
        <v>7.5</v>
      </c>
      <c r="G46" s="192">
        <f t="shared" si="23"/>
        <v>5250</v>
      </c>
      <c r="I46" s="58">
        <f t="shared" si="24"/>
        <v>19</v>
      </c>
      <c r="J46" s="74">
        <f t="shared" si="25"/>
        <v>40</v>
      </c>
      <c r="K46" s="74">
        <f t="shared" si="3"/>
        <v>7.5</v>
      </c>
      <c r="L46" s="52">
        <f t="shared" si="26"/>
        <v>3750</v>
      </c>
      <c r="M46" s="74">
        <f t="shared" si="4"/>
        <v>1500</v>
      </c>
      <c r="N46" s="74">
        <f t="shared" si="27"/>
        <v>5250</v>
      </c>
      <c r="O46" s="180">
        <f t="shared" si="28"/>
        <v>700</v>
      </c>
      <c r="Q46" s="58">
        <f t="shared" si="5"/>
        <v>19</v>
      </c>
      <c r="R46" s="52">
        <f t="shared" si="6"/>
        <v>41</v>
      </c>
      <c r="S46" s="52">
        <f t="shared" si="7"/>
        <v>1</v>
      </c>
      <c r="T46" s="54">
        <f t="shared" si="48"/>
        <v>0.1</v>
      </c>
      <c r="U46" s="52">
        <f t="shared" si="8"/>
        <v>1500</v>
      </c>
      <c r="V46" s="52">
        <f t="shared" si="29"/>
        <v>3846.8119326694919</v>
      </c>
      <c r="W46" s="52">
        <f t="shared" si="30"/>
        <v>150</v>
      </c>
      <c r="X46" s="87">
        <f t="shared" si="31"/>
        <v>153.87247730677967</v>
      </c>
      <c r="Y46" s="53">
        <f t="shared" si="32"/>
        <v>4150.6844099762711</v>
      </c>
      <c r="AA46" s="58">
        <f t="shared" si="9"/>
        <v>19</v>
      </c>
      <c r="AB46" s="52">
        <f t="shared" si="10"/>
        <v>41</v>
      </c>
      <c r="AC46" s="52">
        <f t="shared" si="11"/>
        <v>0</v>
      </c>
      <c r="AD46" s="54">
        <f t="shared" si="49"/>
        <v>0.15</v>
      </c>
      <c r="AE46" s="52">
        <f t="shared" si="12"/>
        <v>5250</v>
      </c>
      <c r="AF46" s="52">
        <f t="shared" si="33"/>
        <v>0</v>
      </c>
      <c r="AG46" s="52">
        <f t="shared" si="34"/>
        <v>0</v>
      </c>
      <c r="AH46" s="52">
        <f t="shared" si="13"/>
        <v>0</v>
      </c>
      <c r="AI46" s="53">
        <f t="shared" si="35"/>
        <v>0</v>
      </c>
      <c r="AK46" s="58">
        <f t="shared" si="36"/>
        <v>19</v>
      </c>
      <c r="AL46" s="52">
        <f t="shared" si="36"/>
        <v>41</v>
      </c>
      <c r="AM46" s="52">
        <f t="shared" si="14"/>
        <v>1</v>
      </c>
      <c r="AN46" s="54">
        <f t="shared" si="15"/>
        <v>0.13500000000000001</v>
      </c>
      <c r="AO46" s="54">
        <f t="shared" si="16"/>
        <v>0.18</v>
      </c>
      <c r="AP46" s="207">
        <f t="shared" si="37"/>
        <v>5250</v>
      </c>
      <c r="AQ46" s="52">
        <f t="shared" si="38"/>
        <v>20195.762646514828</v>
      </c>
      <c r="AR46" s="52">
        <f t="shared" si="39"/>
        <v>787.5</v>
      </c>
      <c r="AS46" s="48">
        <f t="shared" si="40"/>
        <v>807.83050586059312</v>
      </c>
      <c r="AT46" s="53">
        <f t="shared" si="41"/>
        <v>21791.093152375423</v>
      </c>
      <c r="AV46" s="58">
        <f t="shared" si="17"/>
        <v>19</v>
      </c>
      <c r="AW46" s="52">
        <f t="shared" si="17"/>
        <v>41</v>
      </c>
      <c r="AX46" s="48">
        <v>1</v>
      </c>
      <c r="AY46" s="54">
        <f t="shared" si="18"/>
        <v>0.13500000000000001</v>
      </c>
      <c r="AZ46" s="54">
        <f t="shared" si="19"/>
        <v>0.18</v>
      </c>
      <c r="BA46" s="207">
        <f t="shared" si="42"/>
        <v>5250</v>
      </c>
      <c r="BB46" s="52">
        <f t="shared" si="43"/>
        <v>20195.762646514828</v>
      </c>
      <c r="BC46" s="48">
        <f t="shared" si="44"/>
        <v>787.5</v>
      </c>
      <c r="BD46" s="48">
        <f t="shared" si="45"/>
        <v>807.83050586059312</v>
      </c>
      <c r="BE46" s="53">
        <f t="shared" si="46"/>
        <v>21791.093152375423</v>
      </c>
    </row>
    <row r="47" spans="2:57" ht="15.75" thickTop="1" thickBot="1">
      <c r="B47" s="58">
        <f t="shared" si="50"/>
        <v>20</v>
      </c>
      <c r="C47" s="52">
        <f t="shared" si="50"/>
        <v>41</v>
      </c>
      <c r="D47" s="185">
        <f t="shared" si="47"/>
        <v>1</v>
      </c>
      <c r="E47" s="48">
        <f t="shared" si="21"/>
        <v>700</v>
      </c>
      <c r="F47" s="205">
        <f t="shared" si="22"/>
        <v>7.5</v>
      </c>
      <c r="G47" s="192">
        <f t="shared" si="23"/>
        <v>5250</v>
      </c>
      <c r="I47" s="58">
        <f t="shared" si="24"/>
        <v>20</v>
      </c>
      <c r="J47" s="74">
        <f t="shared" si="25"/>
        <v>41</v>
      </c>
      <c r="K47" s="74">
        <f t="shared" si="3"/>
        <v>7.5</v>
      </c>
      <c r="L47" s="52">
        <f t="shared" si="26"/>
        <v>3750</v>
      </c>
      <c r="M47" s="74">
        <f t="shared" si="4"/>
        <v>1500</v>
      </c>
      <c r="N47" s="74">
        <f t="shared" si="27"/>
        <v>5250</v>
      </c>
      <c r="O47" s="180">
        <f t="shared" si="28"/>
        <v>700</v>
      </c>
      <c r="Q47" s="58">
        <f t="shared" si="5"/>
        <v>20</v>
      </c>
      <c r="R47" s="52">
        <f t="shared" si="6"/>
        <v>42</v>
      </c>
      <c r="S47" s="52">
        <f t="shared" si="7"/>
        <v>1</v>
      </c>
      <c r="T47" s="54">
        <f t="shared" si="48"/>
        <v>0.1</v>
      </c>
      <c r="U47" s="52">
        <f t="shared" si="8"/>
        <v>1500</v>
      </c>
      <c r="V47" s="52">
        <f t="shared" si="29"/>
        <v>4150.6844099762711</v>
      </c>
      <c r="W47" s="52">
        <f t="shared" si="30"/>
        <v>150</v>
      </c>
      <c r="X47" s="87">
        <f t="shared" si="31"/>
        <v>166.02737639905084</v>
      </c>
      <c r="Y47" s="53">
        <f t="shared" si="32"/>
        <v>4466.7117863753219</v>
      </c>
      <c r="AA47" s="58">
        <f t="shared" si="9"/>
        <v>20</v>
      </c>
      <c r="AB47" s="52">
        <f t="shared" si="10"/>
        <v>42</v>
      </c>
      <c r="AC47" s="52">
        <f t="shared" si="11"/>
        <v>0</v>
      </c>
      <c r="AD47" s="54">
        <f t="shared" si="49"/>
        <v>0.15</v>
      </c>
      <c r="AE47" s="52">
        <f t="shared" si="12"/>
        <v>5250</v>
      </c>
      <c r="AF47" s="52">
        <f t="shared" si="33"/>
        <v>0</v>
      </c>
      <c r="AG47" s="52">
        <f t="shared" si="34"/>
        <v>0</v>
      </c>
      <c r="AH47" s="52">
        <f t="shared" si="13"/>
        <v>0</v>
      </c>
      <c r="AI47" s="53">
        <f t="shared" si="35"/>
        <v>0</v>
      </c>
      <c r="AK47" s="58">
        <f t="shared" si="36"/>
        <v>20</v>
      </c>
      <c r="AL47" s="52">
        <f t="shared" si="36"/>
        <v>42</v>
      </c>
      <c r="AM47" s="52">
        <f t="shared" si="14"/>
        <v>1</v>
      </c>
      <c r="AN47" s="54">
        <f t="shared" si="15"/>
        <v>0.13500000000000001</v>
      </c>
      <c r="AO47" s="54">
        <f t="shared" si="16"/>
        <v>0.18</v>
      </c>
      <c r="AP47" s="207">
        <f t="shared" si="37"/>
        <v>5250</v>
      </c>
      <c r="AQ47" s="52">
        <f t="shared" si="38"/>
        <v>21791.093152375423</v>
      </c>
      <c r="AR47" s="52">
        <f t="shared" si="39"/>
        <v>787.5</v>
      </c>
      <c r="AS47" s="48">
        <f t="shared" si="40"/>
        <v>871.64372609501697</v>
      </c>
      <c r="AT47" s="53">
        <f t="shared" si="41"/>
        <v>23450.236878470438</v>
      </c>
      <c r="AV47" s="58">
        <f t="shared" si="17"/>
        <v>20</v>
      </c>
      <c r="AW47" s="52">
        <f t="shared" si="17"/>
        <v>42</v>
      </c>
      <c r="AX47" s="48">
        <v>1</v>
      </c>
      <c r="AY47" s="54">
        <f t="shared" si="18"/>
        <v>0.13500000000000001</v>
      </c>
      <c r="AZ47" s="54">
        <f t="shared" si="19"/>
        <v>0.18</v>
      </c>
      <c r="BA47" s="207">
        <f t="shared" si="42"/>
        <v>5250</v>
      </c>
      <c r="BB47" s="52">
        <f t="shared" si="43"/>
        <v>21791.093152375423</v>
      </c>
      <c r="BC47" s="48">
        <f t="shared" si="44"/>
        <v>787.5</v>
      </c>
      <c r="BD47" s="48">
        <f t="shared" si="45"/>
        <v>871.64372609501697</v>
      </c>
      <c r="BE47" s="53">
        <f t="shared" si="46"/>
        <v>23450.236878470438</v>
      </c>
    </row>
    <row r="48" spans="2:57" ht="15.75" thickTop="1" thickBot="1">
      <c r="B48" s="58">
        <f t="shared" si="50"/>
        <v>21</v>
      </c>
      <c r="C48" s="52">
        <f t="shared" si="50"/>
        <v>42</v>
      </c>
      <c r="D48" s="185">
        <f t="shared" si="47"/>
        <v>1</v>
      </c>
      <c r="E48" s="48">
        <f t="shared" si="21"/>
        <v>700</v>
      </c>
      <c r="F48" s="205">
        <f t="shared" si="22"/>
        <v>7.5</v>
      </c>
      <c r="G48" s="192">
        <f t="shared" si="23"/>
        <v>5250</v>
      </c>
      <c r="I48" s="58">
        <f t="shared" si="24"/>
        <v>21</v>
      </c>
      <c r="J48" s="74">
        <f t="shared" si="25"/>
        <v>42</v>
      </c>
      <c r="K48" s="74">
        <f t="shared" si="3"/>
        <v>7.5</v>
      </c>
      <c r="L48" s="52">
        <f t="shared" si="26"/>
        <v>3750</v>
      </c>
      <c r="M48" s="74">
        <f t="shared" si="4"/>
        <v>1500</v>
      </c>
      <c r="N48" s="74">
        <f t="shared" si="27"/>
        <v>5250</v>
      </c>
      <c r="O48" s="180">
        <f t="shared" si="28"/>
        <v>700</v>
      </c>
      <c r="Q48" s="58">
        <f t="shared" si="5"/>
        <v>21</v>
      </c>
      <c r="R48" s="52">
        <f t="shared" si="6"/>
        <v>43</v>
      </c>
      <c r="S48" s="52">
        <f t="shared" si="7"/>
        <v>1</v>
      </c>
      <c r="T48" s="54">
        <f t="shared" si="48"/>
        <v>0.1</v>
      </c>
      <c r="U48" s="52">
        <f t="shared" si="8"/>
        <v>1500</v>
      </c>
      <c r="V48" s="52">
        <f t="shared" si="29"/>
        <v>4466.7117863753219</v>
      </c>
      <c r="W48" s="52">
        <f t="shared" si="30"/>
        <v>150</v>
      </c>
      <c r="X48" s="87">
        <f t="shared" si="31"/>
        <v>178.66847145501288</v>
      </c>
      <c r="Y48" s="53">
        <f t="shared" si="32"/>
        <v>4795.3802578303348</v>
      </c>
      <c r="AA48" s="58">
        <f t="shared" si="9"/>
        <v>21</v>
      </c>
      <c r="AB48" s="52">
        <f t="shared" si="10"/>
        <v>43</v>
      </c>
      <c r="AC48" s="52">
        <f t="shared" si="11"/>
        <v>0</v>
      </c>
      <c r="AD48" s="54">
        <f t="shared" si="49"/>
        <v>0.15</v>
      </c>
      <c r="AE48" s="52">
        <f t="shared" si="12"/>
        <v>5250</v>
      </c>
      <c r="AF48" s="52">
        <f t="shared" si="33"/>
        <v>0</v>
      </c>
      <c r="AG48" s="52">
        <f t="shared" si="34"/>
        <v>0</v>
      </c>
      <c r="AH48" s="52">
        <f t="shared" si="13"/>
        <v>0</v>
      </c>
      <c r="AI48" s="53">
        <f t="shared" si="35"/>
        <v>0</v>
      </c>
      <c r="AK48" s="58">
        <f t="shared" si="36"/>
        <v>21</v>
      </c>
      <c r="AL48" s="52">
        <f t="shared" si="36"/>
        <v>43</v>
      </c>
      <c r="AM48" s="52">
        <f t="shared" si="14"/>
        <v>1</v>
      </c>
      <c r="AN48" s="54">
        <f t="shared" si="15"/>
        <v>0.13500000000000001</v>
      </c>
      <c r="AO48" s="54">
        <f t="shared" si="16"/>
        <v>0.18</v>
      </c>
      <c r="AP48" s="207">
        <f t="shared" si="37"/>
        <v>5250</v>
      </c>
      <c r="AQ48" s="52">
        <f t="shared" si="38"/>
        <v>23450.236878470438</v>
      </c>
      <c r="AR48" s="52">
        <f t="shared" si="39"/>
        <v>787.5</v>
      </c>
      <c r="AS48" s="48">
        <f t="shared" si="40"/>
        <v>938.00947513881749</v>
      </c>
      <c r="AT48" s="53">
        <f t="shared" si="41"/>
        <v>25175.746353609255</v>
      </c>
      <c r="AV48" s="58">
        <f t="shared" si="17"/>
        <v>21</v>
      </c>
      <c r="AW48" s="52">
        <f t="shared" si="17"/>
        <v>43</v>
      </c>
      <c r="AX48" s="48">
        <v>1</v>
      </c>
      <c r="AY48" s="54">
        <f t="shared" si="18"/>
        <v>0.13500000000000001</v>
      </c>
      <c r="AZ48" s="54">
        <f t="shared" si="19"/>
        <v>0.18</v>
      </c>
      <c r="BA48" s="207">
        <f t="shared" si="42"/>
        <v>5250</v>
      </c>
      <c r="BB48" s="52">
        <f t="shared" si="43"/>
        <v>23450.236878470438</v>
      </c>
      <c r="BC48" s="48">
        <f t="shared" si="44"/>
        <v>787.5</v>
      </c>
      <c r="BD48" s="48">
        <f t="shared" si="45"/>
        <v>938.00947513881749</v>
      </c>
      <c r="BE48" s="53">
        <f t="shared" si="46"/>
        <v>25175.746353609255</v>
      </c>
    </row>
    <row r="49" spans="2:57" ht="15.75" thickTop="1" thickBot="1">
      <c r="B49" s="58">
        <f t="shared" si="50"/>
        <v>22</v>
      </c>
      <c r="C49" s="52">
        <f t="shared" si="50"/>
        <v>43</v>
      </c>
      <c r="D49" s="185">
        <f t="shared" si="47"/>
        <v>1</v>
      </c>
      <c r="E49" s="48">
        <f t="shared" si="21"/>
        <v>700</v>
      </c>
      <c r="F49" s="205">
        <f t="shared" si="22"/>
        <v>7.5</v>
      </c>
      <c r="G49" s="192">
        <f t="shared" si="23"/>
        <v>5250</v>
      </c>
      <c r="I49" s="58">
        <f t="shared" si="24"/>
        <v>22</v>
      </c>
      <c r="J49" s="74">
        <f t="shared" si="25"/>
        <v>43</v>
      </c>
      <c r="K49" s="74">
        <f t="shared" si="3"/>
        <v>7.5</v>
      </c>
      <c r="L49" s="52">
        <f t="shared" si="26"/>
        <v>3750</v>
      </c>
      <c r="M49" s="74">
        <f t="shared" si="4"/>
        <v>1500</v>
      </c>
      <c r="N49" s="74">
        <f t="shared" si="27"/>
        <v>5250</v>
      </c>
      <c r="O49" s="180">
        <f t="shared" si="28"/>
        <v>700</v>
      </c>
      <c r="Q49" s="58">
        <f t="shared" si="5"/>
        <v>22</v>
      </c>
      <c r="R49" s="52">
        <f t="shared" si="6"/>
        <v>44</v>
      </c>
      <c r="S49" s="52">
        <f t="shared" si="7"/>
        <v>1</v>
      </c>
      <c r="T49" s="54">
        <f t="shared" si="48"/>
        <v>0.1</v>
      </c>
      <c r="U49" s="52">
        <f t="shared" si="8"/>
        <v>1500</v>
      </c>
      <c r="V49" s="52">
        <f t="shared" si="29"/>
        <v>4795.3802578303348</v>
      </c>
      <c r="W49" s="52">
        <f t="shared" si="30"/>
        <v>150</v>
      </c>
      <c r="X49" s="87">
        <f t="shared" si="31"/>
        <v>191.81521031321338</v>
      </c>
      <c r="Y49" s="53">
        <f t="shared" si="32"/>
        <v>5137.1954681435482</v>
      </c>
      <c r="AA49" s="58">
        <f t="shared" si="9"/>
        <v>22</v>
      </c>
      <c r="AB49" s="52">
        <f t="shared" si="10"/>
        <v>44</v>
      </c>
      <c r="AC49" s="52">
        <f t="shared" si="11"/>
        <v>0</v>
      </c>
      <c r="AD49" s="54">
        <f t="shared" si="49"/>
        <v>0.15</v>
      </c>
      <c r="AE49" s="52">
        <f t="shared" si="12"/>
        <v>5250</v>
      </c>
      <c r="AF49" s="52">
        <f t="shared" si="33"/>
        <v>0</v>
      </c>
      <c r="AG49" s="52">
        <f t="shared" si="34"/>
        <v>0</v>
      </c>
      <c r="AH49" s="52">
        <f t="shared" si="13"/>
        <v>0</v>
      </c>
      <c r="AI49" s="53">
        <f t="shared" si="35"/>
        <v>0</v>
      </c>
      <c r="AK49" s="58">
        <f t="shared" si="36"/>
        <v>22</v>
      </c>
      <c r="AL49" s="52">
        <f t="shared" si="36"/>
        <v>44</v>
      </c>
      <c r="AM49" s="52">
        <f t="shared" si="14"/>
        <v>1</v>
      </c>
      <c r="AN49" s="54">
        <f t="shared" si="15"/>
        <v>0.13500000000000001</v>
      </c>
      <c r="AO49" s="54">
        <f t="shared" si="16"/>
        <v>0.18</v>
      </c>
      <c r="AP49" s="207">
        <f t="shared" si="37"/>
        <v>5250</v>
      </c>
      <c r="AQ49" s="52">
        <f t="shared" si="38"/>
        <v>25175.746353609255</v>
      </c>
      <c r="AR49" s="52">
        <f t="shared" si="39"/>
        <v>787.5</v>
      </c>
      <c r="AS49" s="48">
        <f t="shared" si="40"/>
        <v>1007.0298541443702</v>
      </c>
      <c r="AT49" s="53">
        <f t="shared" si="41"/>
        <v>26970.276207753624</v>
      </c>
      <c r="AV49" s="58">
        <f t="shared" si="17"/>
        <v>22</v>
      </c>
      <c r="AW49" s="52">
        <f t="shared" si="17"/>
        <v>44</v>
      </c>
      <c r="AX49" s="48">
        <v>1</v>
      </c>
      <c r="AY49" s="54">
        <f t="shared" si="18"/>
        <v>0.13500000000000001</v>
      </c>
      <c r="AZ49" s="54">
        <f t="shared" si="19"/>
        <v>0.18</v>
      </c>
      <c r="BA49" s="207">
        <f t="shared" si="42"/>
        <v>5250</v>
      </c>
      <c r="BB49" s="52">
        <f t="shared" si="43"/>
        <v>25175.746353609255</v>
      </c>
      <c r="BC49" s="48">
        <f t="shared" si="44"/>
        <v>787.5</v>
      </c>
      <c r="BD49" s="48">
        <f t="shared" si="45"/>
        <v>1007.0298541443702</v>
      </c>
      <c r="BE49" s="53">
        <f t="shared" si="46"/>
        <v>26970.276207753624</v>
      </c>
    </row>
    <row r="50" spans="2:57" ht="15.75" thickTop="1" thickBot="1">
      <c r="B50" s="58">
        <f t="shared" si="50"/>
        <v>23</v>
      </c>
      <c r="C50" s="52">
        <f t="shared" si="50"/>
        <v>44</v>
      </c>
      <c r="D50" s="185">
        <f t="shared" si="47"/>
        <v>1</v>
      </c>
      <c r="E50" s="48">
        <f t="shared" si="21"/>
        <v>700</v>
      </c>
      <c r="F50" s="205">
        <f t="shared" si="22"/>
        <v>7.5</v>
      </c>
      <c r="G50" s="192">
        <f t="shared" si="23"/>
        <v>5250</v>
      </c>
      <c r="I50" s="58">
        <f t="shared" si="24"/>
        <v>23</v>
      </c>
      <c r="J50" s="74">
        <f t="shared" si="25"/>
        <v>44</v>
      </c>
      <c r="K50" s="74">
        <f t="shared" si="3"/>
        <v>7.5</v>
      </c>
      <c r="L50" s="52">
        <f t="shared" si="26"/>
        <v>3750</v>
      </c>
      <c r="M50" s="74">
        <f t="shared" si="4"/>
        <v>1500</v>
      </c>
      <c r="N50" s="74">
        <f t="shared" si="27"/>
        <v>5250</v>
      </c>
      <c r="O50" s="180">
        <f t="shared" si="28"/>
        <v>700</v>
      </c>
      <c r="Q50" s="58">
        <f t="shared" si="5"/>
        <v>23</v>
      </c>
      <c r="R50" s="52">
        <f t="shared" si="6"/>
        <v>45</v>
      </c>
      <c r="S50" s="52">
        <f t="shared" si="7"/>
        <v>1</v>
      </c>
      <c r="T50" s="54">
        <f t="shared" si="48"/>
        <v>0.1</v>
      </c>
      <c r="U50" s="52">
        <f t="shared" si="8"/>
        <v>1500</v>
      </c>
      <c r="V50" s="52">
        <f t="shared" si="29"/>
        <v>5137.1954681435482</v>
      </c>
      <c r="W50" s="52">
        <f t="shared" si="30"/>
        <v>150</v>
      </c>
      <c r="X50" s="87">
        <f t="shared" si="31"/>
        <v>205.48781872574193</v>
      </c>
      <c r="Y50" s="53">
        <f t="shared" si="32"/>
        <v>5492.68328686929</v>
      </c>
      <c r="AA50" s="58">
        <f t="shared" si="9"/>
        <v>23</v>
      </c>
      <c r="AB50" s="52">
        <f t="shared" si="10"/>
        <v>45</v>
      </c>
      <c r="AC50" s="52">
        <f t="shared" si="11"/>
        <v>0</v>
      </c>
      <c r="AD50" s="54">
        <f t="shared" si="49"/>
        <v>0.15</v>
      </c>
      <c r="AE50" s="52">
        <f t="shared" si="12"/>
        <v>5250</v>
      </c>
      <c r="AF50" s="52">
        <f t="shared" si="33"/>
        <v>0</v>
      </c>
      <c r="AG50" s="52">
        <f t="shared" si="34"/>
        <v>0</v>
      </c>
      <c r="AH50" s="52">
        <f t="shared" si="13"/>
        <v>0</v>
      </c>
      <c r="AI50" s="53">
        <f t="shared" si="35"/>
        <v>0</v>
      </c>
      <c r="AK50" s="58">
        <f t="shared" si="36"/>
        <v>23</v>
      </c>
      <c r="AL50" s="52">
        <f t="shared" si="36"/>
        <v>45</v>
      </c>
      <c r="AM50" s="52">
        <f t="shared" si="14"/>
        <v>1</v>
      </c>
      <c r="AN50" s="54">
        <f t="shared" si="15"/>
        <v>0.13500000000000001</v>
      </c>
      <c r="AO50" s="54">
        <f t="shared" si="16"/>
        <v>0.18</v>
      </c>
      <c r="AP50" s="207">
        <f t="shared" si="37"/>
        <v>5250</v>
      </c>
      <c r="AQ50" s="52">
        <f t="shared" si="38"/>
        <v>26970.276207753624</v>
      </c>
      <c r="AR50" s="52">
        <f t="shared" si="39"/>
        <v>787.5</v>
      </c>
      <c r="AS50" s="48">
        <f t="shared" si="40"/>
        <v>1078.811048310145</v>
      </c>
      <c r="AT50" s="53">
        <f t="shared" si="41"/>
        <v>28836.587256063769</v>
      </c>
      <c r="AV50" s="58">
        <f t="shared" si="17"/>
        <v>23</v>
      </c>
      <c r="AW50" s="52">
        <f t="shared" si="17"/>
        <v>45</v>
      </c>
      <c r="AX50" s="48">
        <v>1</v>
      </c>
      <c r="AY50" s="54">
        <f t="shared" si="18"/>
        <v>0.13500000000000001</v>
      </c>
      <c r="AZ50" s="54">
        <f t="shared" si="19"/>
        <v>0.18</v>
      </c>
      <c r="BA50" s="207">
        <f t="shared" si="42"/>
        <v>5250</v>
      </c>
      <c r="BB50" s="52">
        <f t="shared" si="43"/>
        <v>26970.276207753624</v>
      </c>
      <c r="BC50" s="48">
        <f t="shared" si="44"/>
        <v>787.5</v>
      </c>
      <c r="BD50" s="48">
        <f t="shared" si="45"/>
        <v>1078.811048310145</v>
      </c>
      <c r="BE50" s="53">
        <f t="shared" si="46"/>
        <v>28836.587256063769</v>
      </c>
    </row>
    <row r="51" spans="2:57" ht="15.75" thickTop="1" thickBot="1">
      <c r="B51" s="58">
        <f t="shared" si="50"/>
        <v>24</v>
      </c>
      <c r="C51" s="52">
        <f t="shared" si="50"/>
        <v>45</v>
      </c>
      <c r="D51" s="185">
        <f t="shared" si="47"/>
        <v>1</v>
      </c>
      <c r="E51" s="48">
        <f t="shared" si="21"/>
        <v>700</v>
      </c>
      <c r="F51" s="205">
        <f t="shared" si="22"/>
        <v>7.5</v>
      </c>
      <c r="G51" s="192">
        <f t="shared" si="23"/>
        <v>5250</v>
      </c>
      <c r="I51" s="58">
        <f t="shared" si="24"/>
        <v>24</v>
      </c>
      <c r="J51" s="74">
        <f t="shared" si="25"/>
        <v>45</v>
      </c>
      <c r="K51" s="74">
        <f t="shared" si="3"/>
        <v>7.5</v>
      </c>
      <c r="L51" s="52">
        <f t="shared" si="26"/>
        <v>3750</v>
      </c>
      <c r="M51" s="74">
        <f t="shared" si="4"/>
        <v>1500</v>
      </c>
      <c r="N51" s="74">
        <f t="shared" si="27"/>
        <v>5250</v>
      </c>
      <c r="O51" s="180">
        <f t="shared" si="28"/>
        <v>700</v>
      </c>
      <c r="Q51" s="58">
        <f t="shared" si="5"/>
        <v>24</v>
      </c>
      <c r="R51" s="52">
        <f t="shared" si="6"/>
        <v>46</v>
      </c>
      <c r="S51" s="52">
        <f t="shared" si="7"/>
        <v>1</v>
      </c>
      <c r="T51" s="54">
        <f t="shared" si="48"/>
        <v>0.1</v>
      </c>
      <c r="U51" s="52">
        <f t="shared" si="8"/>
        <v>1500</v>
      </c>
      <c r="V51" s="52">
        <f t="shared" si="29"/>
        <v>5492.68328686929</v>
      </c>
      <c r="W51" s="52">
        <f t="shared" si="30"/>
        <v>150</v>
      </c>
      <c r="X51" s="87">
        <f t="shared" si="31"/>
        <v>219.70733147477159</v>
      </c>
      <c r="Y51" s="53">
        <f t="shared" si="32"/>
        <v>5862.3906183440613</v>
      </c>
      <c r="AA51" s="58">
        <f t="shared" si="9"/>
        <v>24</v>
      </c>
      <c r="AB51" s="52">
        <f t="shared" si="10"/>
        <v>46</v>
      </c>
      <c r="AC51" s="52">
        <f t="shared" si="11"/>
        <v>0</v>
      </c>
      <c r="AD51" s="54">
        <f t="shared" si="49"/>
        <v>0.15</v>
      </c>
      <c r="AE51" s="52">
        <f t="shared" si="12"/>
        <v>5250</v>
      </c>
      <c r="AF51" s="52">
        <f t="shared" si="33"/>
        <v>0</v>
      </c>
      <c r="AG51" s="52">
        <f t="shared" si="34"/>
        <v>0</v>
      </c>
      <c r="AH51" s="52">
        <f t="shared" si="13"/>
        <v>0</v>
      </c>
      <c r="AI51" s="53">
        <f t="shared" si="35"/>
        <v>0</v>
      </c>
      <c r="AK51" s="58">
        <f t="shared" si="36"/>
        <v>24</v>
      </c>
      <c r="AL51" s="52">
        <f t="shared" si="36"/>
        <v>46</v>
      </c>
      <c r="AM51" s="52">
        <f t="shared" si="14"/>
        <v>1</v>
      </c>
      <c r="AN51" s="54">
        <f t="shared" si="15"/>
        <v>0.13500000000000001</v>
      </c>
      <c r="AO51" s="54">
        <f t="shared" si="16"/>
        <v>0.18</v>
      </c>
      <c r="AP51" s="207">
        <f t="shared" si="37"/>
        <v>5250</v>
      </c>
      <c r="AQ51" s="52">
        <f t="shared" si="38"/>
        <v>28836.587256063769</v>
      </c>
      <c r="AR51" s="52">
        <f t="shared" si="39"/>
        <v>787.5</v>
      </c>
      <c r="AS51" s="48">
        <f t="shared" si="40"/>
        <v>1153.4634902425507</v>
      </c>
      <c r="AT51" s="53">
        <f t="shared" si="41"/>
        <v>30777.550746306319</v>
      </c>
      <c r="AV51" s="58">
        <f t="shared" si="17"/>
        <v>24</v>
      </c>
      <c r="AW51" s="52">
        <f t="shared" si="17"/>
        <v>46</v>
      </c>
      <c r="AX51" s="48">
        <v>1</v>
      </c>
      <c r="AY51" s="54">
        <f t="shared" si="18"/>
        <v>0.13500000000000001</v>
      </c>
      <c r="AZ51" s="54">
        <f t="shared" si="19"/>
        <v>0.18</v>
      </c>
      <c r="BA51" s="207">
        <f t="shared" si="42"/>
        <v>5250</v>
      </c>
      <c r="BB51" s="52">
        <f t="shared" si="43"/>
        <v>28836.587256063769</v>
      </c>
      <c r="BC51" s="48">
        <f t="shared" si="44"/>
        <v>787.5</v>
      </c>
      <c r="BD51" s="48">
        <f t="shared" si="45"/>
        <v>1153.4634902425507</v>
      </c>
      <c r="BE51" s="53">
        <f t="shared" si="46"/>
        <v>30777.550746306319</v>
      </c>
    </row>
    <row r="52" spans="2:57" ht="15.75" thickTop="1" thickBot="1">
      <c r="B52" s="58">
        <f t="shared" si="50"/>
        <v>25</v>
      </c>
      <c r="C52" s="52">
        <f t="shared" si="50"/>
        <v>46</v>
      </c>
      <c r="D52" s="185">
        <f t="shared" si="47"/>
        <v>1</v>
      </c>
      <c r="E52" s="48">
        <f t="shared" si="21"/>
        <v>700</v>
      </c>
      <c r="F52" s="205">
        <f t="shared" si="22"/>
        <v>7.5</v>
      </c>
      <c r="G52" s="192">
        <f t="shared" si="23"/>
        <v>5250</v>
      </c>
      <c r="I52" s="58">
        <f t="shared" si="24"/>
        <v>25</v>
      </c>
      <c r="J52" s="74">
        <f t="shared" si="25"/>
        <v>46</v>
      </c>
      <c r="K52" s="74">
        <f t="shared" si="3"/>
        <v>7.5</v>
      </c>
      <c r="L52" s="125">
        <f t="shared" si="26"/>
        <v>3750</v>
      </c>
      <c r="M52" s="74">
        <f t="shared" si="4"/>
        <v>1500</v>
      </c>
      <c r="N52" s="74">
        <f t="shared" si="27"/>
        <v>5250</v>
      </c>
      <c r="O52" s="180">
        <f t="shared" si="28"/>
        <v>700</v>
      </c>
      <c r="Q52" s="58">
        <f t="shared" si="5"/>
        <v>25</v>
      </c>
      <c r="R52" s="52">
        <f t="shared" si="6"/>
        <v>47</v>
      </c>
      <c r="S52" s="52">
        <f t="shared" si="7"/>
        <v>1</v>
      </c>
      <c r="T52" s="54">
        <f t="shared" si="48"/>
        <v>0.1</v>
      </c>
      <c r="U52" s="52">
        <f t="shared" si="8"/>
        <v>1500</v>
      </c>
      <c r="V52" s="52">
        <f t="shared" si="29"/>
        <v>5862.3906183440613</v>
      </c>
      <c r="W52" s="52">
        <f t="shared" si="30"/>
        <v>150</v>
      </c>
      <c r="X52" s="87">
        <f t="shared" si="31"/>
        <v>234.49562473376247</v>
      </c>
      <c r="Y52" s="53">
        <f t="shared" si="32"/>
        <v>6246.8862430778236</v>
      </c>
      <c r="AA52" s="58">
        <f t="shared" si="9"/>
        <v>25</v>
      </c>
      <c r="AB52" s="52">
        <f t="shared" si="10"/>
        <v>47</v>
      </c>
      <c r="AC52" s="52">
        <f t="shared" si="11"/>
        <v>0</v>
      </c>
      <c r="AD52" s="54">
        <f t="shared" si="49"/>
        <v>0.15</v>
      </c>
      <c r="AE52" s="52">
        <f t="shared" si="12"/>
        <v>5250</v>
      </c>
      <c r="AF52" s="52">
        <f t="shared" si="33"/>
        <v>0</v>
      </c>
      <c r="AG52" s="52">
        <f t="shared" si="34"/>
        <v>0</v>
      </c>
      <c r="AH52" s="52">
        <f t="shared" si="13"/>
        <v>0</v>
      </c>
      <c r="AI52" s="53">
        <f t="shared" si="35"/>
        <v>0</v>
      </c>
      <c r="AK52" s="58">
        <f t="shared" si="36"/>
        <v>25</v>
      </c>
      <c r="AL52" s="52">
        <f t="shared" si="36"/>
        <v>47</v>
      </c>
      <c r="AM52" s="52">
        <f t="shared" si="14"/>
        <v>1</v>
      </c>
      <c r="AN52" s="54">
        <f t="shared" si="15"/>
        <v>0.13500000000000001</v>
      </c>
      <c r="AO52" s="54">
        <f t="shared" si="16"/>
        <v>0.18</v>
      </c>
      <c r="AP52" s="207">
        <f t="shared" si="37"/>
        <v>5250</v>
      </c>
      <c r="AQ52" s="52">
        <f t="shared" si="38"/>
        <v>30777.550746306319</v>
      </c>
      <c r="AR52" s="52">
        <f t="shared" si="39"/>
        <v>787.5</v>
      </c>
      <c r="AS52" s="48">
        <f t="shared" si="40"/>
        <v>1231.1020298522528</v>
      </c>
      <c r="AT52" s="53">
        <f t="shared" si="41"/>
        <v>32796.152776158575</v>
      </c>
      <c r="AV52" s="58">
        <f t="shared" si="17"/>
        <v>25</v>
      </c>
      <c r="AW52" s="52">
        <f t="shared" si="17"/>
        <v>47</v>
      </c>
      <c r="AX52" s="48">
        <v>1</v>
      </c>
      <c r="AY52" s="54">
        <f t="shared" si="18"/>
        <v>0.13500000000000001</v>
      </c>
      <c r="AZ52" s="54">
        <f t="shared" si="19"/>
        <v>0.18</v>
      </c>
      <c r="BA52" s="207">
        <f t="shared" si="42"/>
        <v>5250</v>
      </c>
      <c r="BB52" s="52">
        <f t="shared" si="43"/>
        <v>30777.550746306319</v>
      </c>
      <c r="BC52" s="48">
        <f t="shared" si="44"/>
        <v>787.5</v>
      </c>
      <c r="BD52" s="48">
        <f t="shared" si="45"/>
        <v>1231.1020298522528</v>
      </c>
      <c r="BE52" s="53">
        <f t="shared" si="46"/>
        <v>32796.152776158575</v>
      </c>
    </row>
    <row r="53" spans="2:57" ht="15.75" thickTop="1" thickBot="1">
      <c r="B53" s="58">
        <f t="shared" si="50"/>
        <v>26</v>
      </c>
      <c r="C53" s="52">
        <f t="shared" si="50"/>
        <v>47</v>
      </c>
      <c r="D53" s="185">
        <f t="shared" si="47"/>
        <v>1</v>
      </c>
      <c r="E53" s="48">
        <f t="shared" si="21"/>
        <v>700</v>
      </c>
      <c r="F53" s="205">
        <f t="shared" si="22"/>
        <v>7.5</v>
      </c>
      <c r="G53" s="192">
        <f t="shared" si="23"/>
        <v>5250</v>
      </c>
      <c r="I53" s="58">
        <f t="shared" si="24"/>
        <v>26</v>
      </c>
      <c r="J53" s="74">
        <f t="shared" si="25"/>
        <v>47</v>
      </c>
      <c r="K53" s="74">
        <f t="shared" si="3"/>
        <v>7.5</v>
      </c>
      <c r="L53" s="125">
        <f t="shared" si="26"/>
        <v>3750</v>
      </c>
      <c r="M53" s="74">
        <f t="shared" si="4"/>
        <v>1500</v>
      </c>
      <c r="N53" s="74">
        <f t="shared" si="27"/>
        <v>5250</v>
      </c>
      <c r="O53" s="180">
        <f t="shared" si="28"/>
        <v>700</v>
      </c>
      <c r="Q53" s="58">
        <f t="shared" si="5"/>
        <v>26</v>
      </c>
      <c r="R53" s="52">
        <f t="shared" si="6"/>
        <v>48</v>
      </c>
      <c r="S53" s="52">
        <f t="shared" si="7"/>
        <v>1</v>
      </c>
      <c r="T53" s="54">
        <f t="shared" si="48"/>
        <v>0.1</v>
      </c>
      <c r="U53" s="52">
        <f t="shared" si="8"/>
        <v>1500</v>
      </c>
      <c r="V53" s="52">
        <f t="shared" si="29"/>
        <v>6246.8862430778236</v>
      </c>
      <c r="W53" s="52">
        <f t="shared" si="30"/>
        <v>150</v>
      </c>
      <c r="X53" s="87">
        <f t="shared" si="31"/>
        <v>249.87544972311295</v>
      </c>
      <c r="Y53" s="53">
        <f t="shared" si="32"/>
        <v>6646.7616928009365</v>
      </c>
      <c r="AA53" s="58">
        <f t="shared" si="9"/>
        <v>26</v>
      </c>
      <c r="AB53" s="52">
        <f t="shared" si="10"/>
        <v>48</v>
      </c>
      <c r="AC53" s="52">
        <f t="shared" si="11"/>
        <v>0</v>
      </c>
      <c r="AD53" s="54">
        <f t="shared" si="49"/>
        <v>0.15</v>
      </c>
      <c r="AE53" s="52">
        <f t="shared" si="12"/>
        <v>5250</v>
      </c>
      <c r="AF53" s="52">
        <f t="shared" si="33"/>
        <v>0</v>
      </c>
      <c r="AG53" s="52">
        <f t="shared" si="34"/>
        <v>0</v>
      </c>
      <c r="AH53" s="52">
        <f t="shared" si="13"/>
        <v>0</v>
      </c>
      <c r="AI53" s="53">
        <f t="shared" si="35"/>
        <v>0</v>
      </c>
      <c r="AK53" s="58">
        <f t="shared" si="36"/>
        <v>26</v>
      </c>
      <c r="AL53" s="52">
        <f t="shared" si="36"/>
        <v>48</v>
      </c>
      <c r="AM53" s="52">
        <f t="shared" si="14"/>
        <v>1</v>
      </c>
      <c r="AN53" s="54">
        <f t="shared" si="15"/>
        <v>0.13500000000000001</v>
      </c>
      <c r="AO53" s="54">
        <f t="shared" si="16"/>
        <v>0.18</v>
      </c>
      <c r="AP53" s="207">
        <f t="shared" si="37"/>
        <v>5250</v>
      </c>
      <c r="AQ53" s="52">
        <f t="shared" si="38"/>
        <v>32796.152776158575</v>
      </c>
      <c r="AR53" s="52">
        <f t="shared" si="39"/>
        <v>787.5</v>
      </c>
      <c r="AS53" s="48">
        <f t="shared" si="40"/>
        <v>1311.8461110463429</v>
      </c>
      <c r="AT53" s="53">
        <f t="shared" si="41"/>
        <v>34895.498887204914</v>
      </c>
      <c r="AV53" s="58">
        <f t="shared" si="17"/>
        <v>26</v>
      </c>
      <c r="AW53" s="52">
        <f t="shared" si="17"/>
        <v>48</v>
      </c>
      <c r="AX53" s="48">
        <v>1</v>
      </c>
      <c r="AY53" s="54">
        <f t="shared" si="18"/>
        <v>0.13500000000000001</v>
      </c>
      <c r="AZ53" s="54">
        <f t="shared" si="19"/>
        <v>0.18</v>
      </c>
      <c r="BA53" s="207">
        <f t="shared" si="42"/>
        <v>5250</v>
      </c>
      <c r="BB53" s="52">
        <f t="shared" si="43"/>
        <v>32796.152776158575</v>
      </c>
      <c r="BC53" s="48">
        <f t="shared" si="44"/>
        <v>787.5</v>
      </c>
      <c r="BD53" s="48">
        <f t="shared" si="45"/>
        <v>1311.8461110463429</v>
      </c>
      <c r="BE53" s="53">
        <f t="shared" si="46"/>
        <v>34895.498887204914</v>
      </c>
    </row>
    <row r="54" spans="2:57" ht="15.75" thickTop="1" thickBot="1">
      <c r="B54" s="58">
        <f t="shared" si="50"/>
        <v>27</v>
      </c>
      <c r="C54" s="52">
        <f t="shared" si="50"/>
        <v>48</v>
      </c>
      <c r="D54" s="185">
        <f t="shared" si="47"/>
        <v>1</v>
      </c>
      <c r="E54" s="48">
        <f t="shared" si="21"/>
        <v>700</v>
      </c>
      <c r="F54" s="205">
        <f t="shared" si="22"/>
        <v>7.5</v>
      </c>
      <c r="G54" s="192">
        <f t="shared" si="23"/>
        <v>5250</v>
      </c>
      <c r="I54" s="58">
        <f t="shared" si="24"/>
        <v>27</v>
      </c>
      <c r="J54" s="74">
        <f t="shared" si="25"/>
        <v>48</v>
      </c>
      <c r="K54" s="74">
        <f t="shared" si="3"/>
        <v>7.5</v>
      </c>
      <c r="L54" s="125">
        <f t="shared" si="26"/>
        <v>3750</v>
      </c>
      <c r="M54" s="74">
        <f t="shared" si="4"/>
        <v>1500</v>
      </c>
      <c r="N54" s="74">
        <f t="shared" si="27"/>
        <v>5250</v>
      </c>
      <c r="O54" s="180">
        <f t="shared" si="28"/>
        <v>700</v>
      </c>
      <c r="Q54" s="58">
        <f t="shared" si="5"/>
        <v>27</v>
      </c>
      <c r="R54" s="52">
        <f t="shared" si="6"/>
        <v>49</v>
      </c>
      <c r="S54" s="52">
        <f t="shared" si="7"/>
        <v>1</v>
      </c>
      <c r="T54" s="54">
        <f t="shared" si="48"/>
        <v>0.1</v>
      </c>
      <c r="U54" s="52">
        <f t="shared" si="8"/>
        <v>1500</v>
      </c>
      <c r="V54" s="52">
        <f t="shared" si="29"/>
        <v>6646.7616928009365</v>
      </c>
      <c r="W54" s="52">
        <f t="shared" si="30"/>
        <v>150</v>
      </c>
      <c r="X54" s="87">
        <f t="shared" si="31"/>
        <v>265.87046771203745</v>
      </c>
      <c r="Y54" s="53">
        <f t="shared" si="32"/>
        <v>7062.6321605129742</v>
      </c>
      <c r="AA54" s="58">
        <f t="shared" si="9"/>
        <v>27</v>
      </c>
      <c r="AB54" s="52">
        <f t="shared" si="10"/>
        <v>49</v>
      </c>
      <c r="AC54" s="52">
        <f t="shared" si="11"/>
        <v>0</v>
      </c>
      <c r="AD54" s="54">
        <f t="shared" si="49"/>
        <v>0.15</v>
      </c>
      <c r="AE54" s="52">
        <f t="shared" si="12"/>
        <v>5250</v>
      </c>
      <c r="AF54" s="52">
        <f t="shared" si="33"/>
        <v>0</v>
      </c>
      <c r="AG54" s="52">
        <f t="shared" si="34"/>
        <v>0</v>
      </c>
      <c r="AH54" s="52">
        <f t="shared" si="13"/>
        <v>0</v>
      </c>
      <c r="AI54" s="53">
        <f t="shared" si="35"/>
        <v>0</v>
      </c>
      <c r="AK54" s="58">
        <f t="shared" si="36"/>
        <v>27</v>
      </c>
      <c r="AL54" s="52">
        <f t="shared" si="36"/>
        <v>49</v>
      </c>
      <c r="AM54" s="52">
        <f t="shared" si="14"/>
        <v>1</v>
      </c>
      <c r="AN54" s="54">
        <f t="shared" si="15"/>
        <v>0.13500000000000001</v>
      </c>
      <c r="AO54" s="54">
        <f t="shared" si="16"/>
        <v>0.18</v>
      </c>
      <c r="AP54" s="207">
        <f t="shared" si="37"/>
        <v>5250</v>
      </c>
      <c r="AQ54" s="52">
        <f t="shared" si="38"/>
        <v>34895.498887204914</v>
      </c>
      <c r="AR54" s="52">
        <f t="shared" si="39"/>
        <v>787.5</v>
      </c>
      <c r="AS54" s="48">
        <f t="shared" si="40"/>
        <v>1395.8199554881967</v>
      </c>
      <c r="AT54" s="53">
        <f t="shared" si="41"/>
        <v>37078.818842693108</v>
      </c>
      <c r="AV54" s="58">
        <f t="shared" si="17"/>
        <v>27</v>
      </c>
      <c r="AW54" s="52">
        <f t="shared" si="17"/>
        <v>49</v>
      </c>
      <c r="AX54" s="48">
        <v>1</v>
      </c>
      <c r="AY54" s="54">
        <f t="shared" si="18"/>
        <v>0.13500000000000001</v>
      </c>
      <c r="AZ54" s="54">
        <f t="shared" si="19"/>
        <v>0.18</v>
      </c>
      <c r="BA54" s="207">
        <f t="shared" si="42"/>
        <v>5250</v>
      </c>
      <c r="BB54" s="52">
        <f t="shared" si="43"/>
        <v>34895.498887204914</v>
      </c>
      <c r="BC54" s="48">
        <f t="shared" si="44"/>
        <v>787.5</v>
      </c>
      <c r="BD54" s="48">
        <f t="shared" si="45"/>
        <v>1395.8199554881967</v>
      </c>
      <c r="BE54" s="53">
        <f t="shared" si="46"/>
        <v>37078.818842693108</v>
      </c>
    </row>
    <row r="55" spans="2:57" ht="15.75" thickTop="1" thickBot="1">
      <c r="B55" s="58">
        <f t="shared" si="50"/>
        <v>28</v>
      </c>
      <c r="C55" s="52">
        <f t="shared" si="50"/>
        <v>49</v>
      </c>
      <c r="D55" s="185">
        <f t="shared" si="47"/>
        <v>1</v>
      </c>
      <c r="E55" s="48">
        <f t="shared" si="21"/>
        <v>700</v>
      </c>
      <c r="F55" s="205">
        <f t="shared" si="22"/>
        <v>7.5</v>
      </c>
      <c r="G55" s="192">
        <f t="shared" si="23"/>
        <v>5250</v>
      </c>
      <c r="I55" s="58">
        <f t="shared" si="24"/>
        <v>28</v>
      </c>
      <c r="J55" s="74">
        <f t="shared" si="25"/>
        <v>49</v>
      </c>
      <c r="K55" s="74">
        <f t="shared" si="3"/>
        <v>7.5</v>
      </c>
      <c r="L55" s="125">
        <f t="shared" si="26"/>
        <v>3750</v>
      </c>
      <c r="M55" s="74">
        <f t="shared" si="4"/>
        <v>1500</v>
      </c>
      <c r="N55" s="74">
        <f t="shared" si="27"/>
        <v>5250</v>
      </c>
      <c r="O55" s="180">
        <f t="shared" si="28"/>
        <v>700</v>
      </c>
      <c r="Q55" s="58">
        <f t="shared" si="5"/>
        <v>28</v>
      </c>
      <c r="R55" s="52">
        <f t="shared" si="6"/>
        <v>50</v>
      </c>
      <c r="S55" s="52">
        <f t="shared" si="7"/>
        <v>1</v>
      </c>
      <c r="T55" s="54">
        <f t="shared" si="48"/>
        <v>0.1</v>
      </c>
      <c r="U55" s="52">
        <f t="shared" si="8"/>
        <v>1500</v>
      </c>
      <c r="V55" s="52">
        <f t="shared" si="29"/>
        <v>7062.6321605129742</v>
      </c>
      <c r="W55" s="52">
        <f t="shared" si="30"/>
        <v>150</v>
      </c>
      <c r="X55" s="87">
        <f t="shared" si="31"/>
        <v>282.50528642051898</v>
      </c>
      <c r="Y55" s="53">
        <f t="shared" si="32"/>
        <v>7495.1374469334933</v>
      </c>
      <c r="AA55" s="58">
        <f t="shared" si="9"/>
        <v>28</v>
      </c>
      <c r="AB55" s="52">
        <f t="shared" si="10"/>
        <v>50</v>
      </c>
      <c r="AC55" s="52">
        <f t="shared" si="11"/>
        <v>0</v>
      </c>
      <c r="AD55" s="54">
        <f t="shared" si="49"/>
        <v>0.15</v>
      </c>
      <c r="AE55" s="52">
        <f t="shared" si="12"/>
        <v>5250</v>
      </c>
      <c r="AF55" s="52">
        <f t="shared" si="33"/>
        <v>0</v>
      </c>
      <c r="AG55" s="52">
        <f t="shared" si="34"/>
        <v>0</v>
      </c>
      <c r="AH55" s="52">
        <f t="shared" si="13"/>
        <v>0</v>
      </c>
      <c r="AI55" s="53">
        <f t="shared" si="35"/>
        <v>0</v>
      </c>
      <c r="AK55" s="58">
        <f t="shared" si="36"/>
        <v>28</v>
      </c>
      <c r="AL55" s="52">
        <f t="shared" si="36"/>
        <v>50</v>
      </c>
      <c r="AM55" s="52">
        <f t="shared" si="14"/>
        <v>1</v>
      </c>
      <c r="AN55" s="54">
        <f t="shared" si="15"/>
        <v>0.13500000000000001</v>
      </c>
      <c r="AO55" s="54">
        <f t="shared" si="16"/>
        <v>0.18</v>
      </c>
      <c r="AP55" s="207">
        <f t="shared" si="37"/>
        <v>5250</v>
      </c>
      <c r="AQ55" s="52">
        <f t="shared" si="38"/>
        <v>37078.818842693108</v>
      </c>
      <c r="AR55" s="52">
        <f t="shared" si="39"/>
        <v>787.5</v>
      </c>
      <c r="AS55" s="48">
        <f t="shared" si="40"/>
        <v>1483.1527537077243</v>
      </c>
      <c r="AT55" s="53">
        <f t="shared" si="41"/>
        <v>39349.471596400836</v>
      </c>
      <c r="AV55" s="58">
        <f t="shared" si="17"/>
        <v>28</v>
      </c>
      <c r="AW55" s="52">
        <f t="shared" si="17"/>
        <v>50</v>
      </c>
      <c r="AX55" s="48">
        <v>1</v>
      </c>
      <c r="AY55" s="54">
        <f t="shared" si="18"/>
        <v>0.13500000000000001</v>
      </c>
      <c r="AZ55" s="54">
        <f t="shared" si="19"/>
        <v>0.18</v>
      </c>
      <c r="BA55" s="207">
        <f t="shared" si="42"/>
        <v>5250</v>
      </c>
      <c r="BB55" s="52">
        <f t="shared" si="43"/>
        <v>37078.818842693108</v>
      </c>
      <c r="BC55" s="48">
        <f t="shared" si="44"/>
        <v>787.5</v>
      </c>
      <c r="BD55" s="48">
        <f t="shared" si="45"/>
        <v>1483.1527537077243</v>
      </c>
      <c r="BE55" s="53">
        <f t="shared" si="46"/>
        <v>39349.471596400836</v>
      </c>
    </row>
    <row r="56" spans="2:57" ht="15.75" thickTop="1" thickBot="1">
      <c r="B56" s="58">
        <f t="shared" si="50"/>
        <v>29</v>
      </c>
      <c r="C56" s="52">
        <f t="shared" si="50"/>
        <v>50</v>
      </c>
      <c r="D56" s="185">
        <f t="shared" si="47"/>
        <v>1</v>
      </c>
      <c r="E56" s="48">
        <f t="shared" si="21"/>
        <v>700</v>
      </c>
      <c r="F56" s="205">
        <f t="shared" si="22"/>
        <v>7.5</v>
      </c>
      <c r="G56" s="192">
        <f t="shared" si="23"/>
        <v>5250</v>
      </c>
      <c r="I56" s="58">
        <f t="shared" si="24"/>
        <v>29</v>
      </c>
      <c r="J56" s="74">
        <f t="shared" si="25"/>
        <v>50</v>
      </c>
      <c r="K56" s="74">
        <f t="shared" si="3"/>
        <v>7.5</v>
      </c>
      <c r="L56" s="125">
        <f t="shared" si="26"/>
        <v>3750</v>
      </c>
      <c r="M56" s="74">
        <f t="shared" si="4"/>
        <v>1500</v>
      </c>
      <c r="N56" s="74">
        <f t="shared" si="27"/>
        <v>5250</v>
      </c>
      <c r="O56" s="180">
        <f t="shared" si="28"/>
        <v>700</v>
      </c>
      <c r="Q56" s="58">
        <f t="shared" si="5"/>
        <v>29</v>
      </c>
      <c r="R56" s="52">
        <f t="shared" si="6"/>
        <v>51</v>
      </c>
      <c r="S56" s="52">
        <f t="shared" si="7"/>
        <v>1</v>
      </c>
      <c r="T56" s="54">
        <f t="shared" si="48"/>
        <v>0.1</v>
      </c>
      <c r="U56" s="52">
        <f t="shared" si="8"/>
        <v>1500</v>
      </c>
      <c r="V56" s="52">
        <f t="shared" si="29"/>
        <v>7495.1374469334933</v>
      </c>
      <c r="W56" s="52">
        <f t="shared" si="30"/>
        <v>150</v>
      </c>
      <c r="X56" s="87">
        <f t="shared" si="31"/>
        <v>299.80549787733975</v>
      </c>
      <c r="Y56" s="53">
        <f t="shared" si="32"/>
        <v>7944.9429448108331</v>
      </c>
      <c r="AA56" s="58">
        <f t="shared" si="9"/>
        <v>29</v>
      </c>
      <c r="AB56" s="52">
        <f t="shared" si="10"/>
        <v>51</v>
      </c>
      <c r="AC56" s="52">
        <f t="shared" si="11"/>
        <v>0</v>
      </c>
      <c r="AD56" s="54">
        <f t="shared" si="49"/>
        <v>0.15</v>
      </c>
      <c r="AE56" s="52">
        <f t="shared" si="12"/>
        <v>5250</v>
      </c>
      <c r="AF56" s="52">
        <f t="shared" si="33"/>
        <v>0</v>
      </c>
      <c r="AG56" s="52">
        <f t="shared" si="34"/>
        <v>0</v>
      </c>
      <c r="AH56" s="52">
        <f t="shared" si="13"/>
        <v>0</v>
      </c>
      <c r="AI56" s="53">
        <f t="shared" si="35"/>
        <v>0</v>
      </c>
      <c r="AK56" s="58">
        <f t="shared" si="36"/>
        <v>29</v>
      </c>
      <c r="AL56" s="52">
        <f t="shared" si="36"/>
        <v>51</v>
      </c>
      <c r="AM56" s="52">
        <f t="shared" si="14"/>
        <v>1</v>
      </c>
      <c r="AN56" s="54">
        <f t="shared" si="15"/>
        <v>0.13500000000000001</v>
      </c>
      <c r="AO56" s="54">
        <f t="shared" si="16"/>
        <v>0.18</v>
      </c>
      <c r="AP56" s="207">
        <f t="shared" si="37"/>
        <v>5250</v>
      </c>
      <c r="AQ56" s="52">
        <f t="shared" si="38"/>
        <v>39349.471596400836</v>
      </c>
      <c r="AR56" s="52">
        <f t="shared" si="39"/>
        <v>787.5</v>
      </c>
      <c r="AS56" s="48">
        <f t="shared" si="40"/>
        <v>1573.9788638560335</v>
      </c>
      <c r="AT56" s="53">
        <f t="shared" si="41"/>
        <v>41710.95046025687</v>
      </c>
      <c r="AV56" s="58">
        <f t="shared" si="17"/>
        <v>29</v>
      </c>
      <c r="AW56" s="52">
        <f t="shared" si="17"/>
        <v>51</v>
      </c>
      <c r="AX56" s="48">
        <v>1</v>
      </c>
      <c r="AY56" s="54">
        <f t="shared" si="18"/>
        <v>0.13500000000000001</v>
      </c>
      <c r="AZ56" s="54">
        <f t="shared" si="19"/>
        <v>0.18</v>
      </c>
      <c r="BA56" s="207">
        <f t="shared" si="42"/>
        <v>5250</v>
      </c>
      <c r="BB56" s="52">
        <f t="shared" si="43"/>
        <v>39349.471596400836</v>
      </c>
      <c r="BC56" s="48">
        <f t="shared" si="44"/>
        <v>787.5</v>
      </c>
      <c r="BD56" s="48">
        <f t="shared" si="45"/>
        <v>1573.9788638560335</v>
      </c>
      <c r="BE56" s="53">
        <f t="shared" si="46"/>
        <v>41710.95046025687</v>
      </c>
    </row>
    <row r="57" spans="2:57" ht="15.75" thickTop="1" thickBot="1">
      <c r="B57" s="58">
        <f t="shared" si="50"/>
        <v>30</v>
      </c>
      <c r="C57" s="52">
        <f t="shared" si="50"/>
        <v>51</v>
      </c>
      <c r="D57" s="185">
        <f t="shared" si="47"/>
        <v>1</v>
      </c>
      <c r="E57" s="48">
        <f t="shared" si="21"/>
        <v>700</v>
      </c>
      <c r="F57" s="205">
        <f t="shared" si="22"/>
        <v>7.5</v>
      </c>
      <c r="G57" s="192">
        <f t="shared" si="23"/>
        <v>5250</v>
      </c>
      <c r="I57" s="58">
        <f t="shared" si="24"/>
        <v>30</v>
      </c>
      <c r="J57" s="74">
        <f t="shared" si="25"/>
        <v>51</v>
      </c>
      <c r="K57" s="74">
        <f t="shared" si="3"/>
        <v>7.5</v>
      </c>
      <c r="L57" s="125">
        <f t="shared" si="26"/>
        <v>3750</v>
      </c>
      <c r="M57" s="74">
        <f t="shared" si="4"/>
        <v>1500</v>
      </c>
      <c r="N57" s="74">
        <f t="shared" si="27"/>
        <v>5250</v>
      </c>
      <c r="O57" s="180">
        <f t="shared" si="28"/>
        <v>700</v>
      </c>
      <c r="Q57" s="58">
        <f t="shared" si="5"/>
        <v>30</v>
      </c>
      <c r="R57" s="52">
        <f t="shared" si="6"/>
        <v>52</v>
      </c>
      <c r="S57" s="52">
        <f t="shared" si="7"/>
        <v>1</v>
      </c>
      <c r="T57" s="54">
        <f t="shared" si="48"/>
        <v>0.1</v>
      </c>
      <c r="U57" s="52">
        <f t="shared" si="8"/>
        <v>1500</v>
      </c>
      <c r="V57" s="52">
        <f t="shared" si="29"/>
        <v>7944.9429448108331</v>
      </c>
      <c r="W57" s="52">
        <f t="shared" si="30"/>
        <v>150</v>
      </c>
      <c r="X57" s="87">
        <f t="shared" si="31"/>
        <v>317.79771779243333</v>
      </c>
      <c r="Y57" s="53">
        <f t="shared" si="32"/>
        <v>8412.7406626032662</v>
      </c>
      <c r="AA57" s="58">
        <f t="shared" si="9"/>
        <v>30</v>
      </c>
      <c r="AB57" s="52">
        <f t="shared" si="10"/>
        <v>52</v>
      </c>
      <c r="AC57" s="52">
        <f t="shared" si="11"/>
        <v>0</v>
      </c>
      <c r="AD57" s="54">
        <f t="shared" si="49"/>
        <v>0.15</v>
      </c>
      <c r="AE57" s="52">
        <f t="shared" si="12"/>
        <v>5250</v>
      </c>
      <c r="AF57" s="52">
        <f t="shared" si="33"/>
        <v>0</v>
      </c>
      <c r="AG57" s="52">
        <f t="shared" si="34"/>
        <v>0</v>
      </c>
      <c r="AH57" s="52">
        <f t="shared" si="13"/>
        <v>0</v>
      </c>
      <c r="AI57" s="53">
        <f t="shared" si="35"/>
        <v>0</v>
      </c>
      <c r="AK57" s="58">
        <f t="shared" si="36"/>
        <v>30</v>
      </c>
      <c r="AL57" s="52">
        <f t="shared" si="36"/>
        <v>52</v>
      </c>
      <c r="AM57" s="52">
        <f t="shared" si="14"/>
        <v>1</v>
      </c>
      <c r="AN57" s="54">
        <f t="shared" si="15"/>
        <v>0.13500000000000001</v>
      </c>
      <c r="AO57" s="54">
        <f t="shared" si="16"/>
        <v>0.18</v>
      </c>
      <c r="AP57" s="207">
        <f t="shared" si="37"/>
        <v>5250</v>
      </c>
      <c r="AQ57" s="52">
        <f t="shared" si="38"/>
        <v>41710.95046025687</v>
      </c>
      <c r="AR57" s="52">
        <f t="shared" si="39"/>
        <v>787.5</v>
      </c>
      <c r="AS57" s="48">
        <f t="shared" si="40"/>
        <v>1668.4380184102749</v>
      </c>
      <c r="AT57" s="53">
        <f t="shared" si="41"/>
        <v>44166.888478667148</v>
      </c>
      <c r="AV57" s="58">
        <f t="shared" si="17"/>
        <v>30</v>
      </c>
      <c r="AW57" s="52">
        <f t="shared" si="17"/>
        <v>52</v>
      </c>
      <c r="AX57" s="48">
        <v>1</v>
      </c>
      <c r="AY57" s="54">
        <f t="shared" si="18"/>
        <v>0.13500000000000001</v>
      </c>
      <c r="AZ57" s="54">
        <f t="shared" si="19"/>
        <v>0.18</v>
      </c>
      <c r="BA57" s="207">
        <f t="shared" si="42"/>
        <v>5250</v>
      </c>
      <c r="BB57" s="52">
        <f t="shared" si="43"/>
        <v>41710.95046025687</v>
      </c>
      <c r="BC57" s="48">
        <f t="shared" si="44"/>
        <v>787.5</v>
      </c>
      <c r="BD57" s="48">
        <f t="shared" si="45"/>
        <v>1668.4380184102749</v>
      </c>
      <c r="BE57" s="53">
        <f t="shared" si="46"/>
        <v>44166.888478667148</v>
      </c>
    </row>
    <row r="58" spans="2:57" ht="15.75" thickTop="1" thickBot="1">
      <c r="B58" s="58">
        <f t="shared" si="50"/>
        <v>31</v>
      </c>
      <c r="C58" s="52">
        <f t="shared" si="50"/>
        <v>52</v>
      </c>
      <c r="D58" s="185">
        <f t="shared" si="47"/>
        <v>1</v>
      </c>
      <c r="E58" s="48">
        <f t="shared" si="21"/>
        <v>700</v>
      </c>
      <c r="F58" s="205">
        <f t="shared" si="22"/>
        <v>7.5</v>
      </c>
      <c r="G58" s="192">
        <f t="shared" si="23"/>
        <v>5250</v>
      </c>
      <c r="I58" s="58">
        <f t="shared" si="24"/>
        <v>31</v>
      </c>
      <c r="J58" s="74">
        <f t="shared" si="25"/>
        <v>52</v>
      </c>
      <c r="K58" s="74">
        <f t="shared" si="3"/>
        <v>7.5</v>
      </c>
      <c r="L58" s="125">
        <f t="shared" si="26"/>
        <v>3750</v>
      </c>
      <c r="M58" s="74">
        <f t="shared" si="4"/>
        <v>1500</v>
      </c>
      <c r="N58" s="74">
        <f t="shared" si="27"/>
        <v>5250</v>
      </c>
      <c r="O58" s="180">
        <f t="shared" si="28"/>
        <v>700</v>
      </c>
      <c r="Q58" s="58">
        <f t="shared" si="5"/>
        <v>31</v>
      </c>
      <c r="R58" s="52">
        <f t="shared" si="6"/>
        <v>53</v>
      </c>
      <c r="S58" s="52">
        <f t="shared" si="7"/>
        <v>1</v>
      </c>
      <c r="T58" s="54">
        <f t="shared" si="48"/>
        <v>0.1</v>
      </c>
      <c r="U58" s="52">
        <f t="shared" si="8"/>
        <v>1500</v>
      </c>
      <c r="V58" s="52">
        <f t="shared" si="29"/>
        <v>8412.7406626032662</v>
      </c>
      <c r="W58" s="52">
        <f t="shared" si="30"/>
        <v>150</v>
      </c>
      <c r="X58" s="87">
        <f t="shared" si="31"/>
        <v>336.50962650413067</v>
      </c>
      <c r="Y58" s="53">
        <f t="shared" si="32"/>
        <v>8899.2502891073964</v>
      </c>
      <c r="AA58" s="58">
        <f t="shared" si="9"/>
        <v>31</v>
      </c>
      <c r="AB58" s="52">
        <f t="shared" si="10"/>
        <v>53</v>
      </c>
      <c r="AC58" s="52">
        <f t="shared" si="11"/>
        <v>0</v>
      </c>
      <c r="AD58" s="54">
        <f t="shared" si="49"/>
        <v>0.15</v>
      </c>
      <c r="AE58" s="52">
        <f t="shared" si="12"/>
        <v>5250</v>
      </c>
      <c r="AF58" s="52">
        <f t="shared" si="33"/>
        <v>0</v>
      </c>
      <c r="AG58" s="52">
        <f t="shared" si="34"/>
        <v>0</v>
      </c>
      <c r="AH58" s="52">
        <f t="shared" si="13"/>
        <v>0</v>
      </c>
      <c r="AI58" s="53">
        <f t="shared" si="35"/>
        <v>0</v>
      </c>
      <c r="AK58" s="58">
        <f t="shared" si="36"/>
        <v>31</v>
      </c>
      <c r="AL58" s="52">
        <f t="shared" si="36"/>
        <v>53</v>
      </c>
      <c r="AM58" s="52">
        <f t="shared" si="14"/>
        <v>1</v>
      </c>
      <c r="AN58" s="54">
        <f t="shared" si="15"/>
        <v>0.13500000000000001</v>
      </c>
      <c r="AO58" s="54">
        <f t="shared" si="16"/>
        <v>0.18</v>
      </c>
      <c r="AP58" s="207">
        <f t="shared" si="37"/>
        <v>5250</v>
      </c>
      <c r="AQ58" s="52">
        <f t="shared" si="38"/>
        <v>44166.888478667148</v>
      </c>
      <c r="AR58" s="52">
        <f t="shared" si="39"/>
        <v>787.5</v>
      </c>
      <c r="AS58" s="48">
        <f t="shared" si="40"/>
        <v>1766.6755391466859</v>
      </c>
      <c r="AT58" s="53">
        <f t="shared" si="41"/>
        <v>46721.064017813835</v>
      </c>
      <c r="AV58" s="58">
        <f t="shared" si="17"/>
        <v>31</v>
      </c>
      <c r="AW58" s="52">
        <f t="shared" si="17"/>
        <v>53</v>
      </c>
      <c r="AX58" s="48">
        <v>1</v>
      </c>
      <c r="AY58" s="54">
        <f t="shared" si="18"/>
        <v>0.13500000000000001</v>
      </c>
      <c r="AZ58" s="54">
        <f t="shared" si="19"/>
        <v>0.18</v>
      </c>
      <c r="BA58" s="207">
        <f t="shared" si="42"/>
        <v>5250</v>
      </c>
      <c r="BB58" s="52">
        <f t="shared" si="43"/>
        <v>44166.888478667148</v>
      </c>
      <c r="BC58" s="48">
        <f t="shared" si="44"/>
        <v>787.5</v>
      </c>
      <c r="BD58" s="48">
        <f t="shared" si="45"/>
        <v>1766.6755391466859</v>
      </c>
      <c r="BE58" s="53">
        <f t="shared" si="46"/>
        <v>46721.064017813835</v>
      </c>
    </row>
    <row r="59" spans="2:57" ht="15.75" thickTop="1" thickBot="1">
      <c r="B59" s="124">
        <f t="shared" si="50"/>
        <v>32</v>
      </c>
      <c r="C59" s="125">
        <f t="shared" si="50"/>
        <v>53</v>
      </c>
      <c r="D59" s="185">
        <f t="shared" si="47"/>
        <v>1</v>
      </c>
      <c r="E59" s="48">
        <f t="shared" si="21"/>
        <v>700</v>
      </c>
      <c r="F59" s="205">
        <f t="shared" si="22"/>
        <v>7.5</v>
      </c>
      <c r="G59" s="192">
        <f t="shared" si="23"/>
        <v>5250</v>
      </c>
      <c r="I59" s="58">
        <f t="shared" si="24"/>
        <v>32</v>
      </c>
      <c r="J59" s="74">
        <f t="shared" si="25"/>
        <v>53</v>
      </c>
      <c r="K59" s="74">
        <f t="shared" si="3"/>
        <v>7.5</v>
      </c>
      <c r="L59" s="125">
        <f t="shared" si="26"/>
        <v>3750</v>
      </c>
      <c r="M59" s="74">
        <f t="shared" si="4"/>
        <v>1500</v>
      </c>
      <c r="N59" s="74">
        <f t="shared" si="27"/>
        <v>5250</v>
      </c>
      <c r="O59" s="180">
        <f t="shared" si="28"/>
        <v>700</v>
      </c>
      <c r="Q59" s="58">
        <f t="shared" si="5"/>
        <v>32</v>
      </c>
      <c r="R59" s="52">
        <f t="shared" si="6"/>
        <v>54</v>
      </c>
      <c r="S59" s="52">
        <f t="shared" si="7"/>
        <v>1</v>
      </c>
      <c r="T59" s="54">
        <f t="shared" si="48"/>
        <v>0.1</v>
      </c>
      <c r="U59" s="52">
        <f t="shared" si="8"/>
        <v>1500</v>
      </c>
      <c r="V59" s="52">
        <f t="shared" si="29"/>
        <v>8899.2502891073964</v>
      </c>
      <c r="W59" s="52">
        <f t="shared" si="30"/>
        <v>150</v>
      </c>
      <c r="X59" s="87">
        <f t="shared" si="31"/>
        <v>355.97001156429587</v>
      </c>
      <c r="Y59" s="53">
        <f t="shared" si="32"/>
        <v>9405.2203006716918</v>
      </c>
      <c r="AA59" s="58">
        <f t="shared" si="9"/>
        <v>32</v>
      </c>
      <c r="AB59" s="52">
        <f t="shared" si="10"/>
        <v>54</v>
      </c>
      <c r="AC59" s="52">
        <f t="shared" si="11"/>
        <v>0</v>
      </c>
      <c r="AD59" s="54">
        <f t="shared" si="49"/>
        <v>0.15</v>
      </c>
      <c r="AE59" s="52">
        <f t="shared" si="12"/>
        <v>5250</v>
      </c>
      <c r="AF59" s="52">
        <f t="shared" si="33"/>
        <v>0</v>
      </c>
      <c r="AG59" s="52">
        <f t="shared" si="34"/>
        <v>0</v>
      </c>
      <c r="AH59" s="52">
        <f t="shared" si="13"/>
        <v>0</v>
      </c>
      <c r="AI59" s="53">
        <f t="shared" si="35"/>
        <v>0</v>
      </c>
      <c r="AK59" s="58">
        <f t="shared" si="36"/>
        <v>32</v>
      </c>
      <c r="AL59" s="52">
        <f t="shared" si="36"/>
        <v>54</v>
      </c>
      <c r="AM59" s="52">
        <f t="shared" si="14"/>
        <v>1</v>
      </c>
      <c r="AN59" s="54">
        <f t="shared" si="15"/>
        <v>0.13500000000000001</v>
      </c>
      <c r="AO59" s="54">
        <f t="shared" si="16"/>
        <v>0.18</v>
      </c>
      <c r="AP59" s="207">
        <f t="shared" si="37"/>
        <v>5250</v>
      </c>
      <c r="AQ59" s="52">
        <f t="shared" si="38"/>
        <v>46721.064017813835</v>
      </c>
      <c r="AR59" s="52">
        <f t="shared" si="39"/>
        <v>787.5</v>
      </c>
      <c r="AS59" s="48">
        <f t="shared" si="40"/>
        <v>1868.8425607125534</v>
      </c>
      <c r="AT59" s="53">
        <f t="shared" si="41"/>
        <v>49377.406578526388</v>
      </c>
      <c r="AV59" s="58">
        <f t="shared" si="17"/>
        <v>32</v>
      </c>
      <c r="AW59" s="52">
        <f t="shared" si="17"/>
        <v>54</v>
      </c>
      <c r="AX59" s="48">
        <v>1</v>
      </c>
      <c r="AY59" s="54">
        <f t="shared" si="18"/>
        <v>0.13500000000000001</v>
      </c>
      <c r="AZ59" s="54">
        <f t="shared" si="19"/>
        <v>0.18</v>
      </c>
      <c r="BA59" s="207">
        <f t="shared" si="42"/>
        <v>5250</v>
      </c>
      <c r="BB59" s="52">
        <f t="shared" si="43"/>
        <v>46721.064017813835</v>
      </c>
      <c r="BC59" s="48">
        <f t="shared" si="44"/>
        <v>787.5</v>
      </c>
      <c r="BD59" s="48">
        <f t="shared" si="45"/>
        <v>1868.8425607125534</v>
      </c>
      <c r="BE59" s="53">
        <f t="shared" si="46"/>
        <v>49377.406578526388</v>
      </c>
    </row>
    <row r="60" spans="2:57" ht="15.75" thickTop="1" thickBot="1">
      <c r="B60" s="124">
        <f t="shared" si="50"/>
        <v>33</v>
      </c>
      <c r="C60" s="125">
        <f t="shared" si="50"/>
        <v>54</v>
      </c>
      <c r="D60" s="185">
        <f t="shared" si="47"/>
        <v>1</v>
      </c>
      <c r="E60" s="48">
        <f t="shared" si="21"/>
        <v>700</v>
      </c>
      <c r="F60" s="205">
        <f t="shared" si="22"/>
        <v>7.5</v>
      </c>
      <c r="G60" s="192">
        <f t="shared" si="23"/>
        <v>5250</v>
      </c>
      <c r="I60" s="124">
        <f t="shared" si="24"/>
        <v>33</v>
      </c>
      <c r="J60" s="129">
        <f t="shared" si="25"/>
        <v>54</v>
      </c>
      <c r="K60" s="129">
        <f t="shared" si="3"/>
        <v>7.5</v>
      </c>
      <c r="L60" s="125">
        <f t="shared" si="26"/>
        <v>3750</v>
      </c>
      <c r="M60" s="74">
        <f t="shared" si="4"/>
        <v>1500</v>
      </c>
      <c r="N60" s="74">
        <f t="shared" si="27"/>
        <v>5250</v>
      </c>
      <c r="O60" s="180">
        <f t="shared" si="28"/>
        <v>700</v>
      </c>
      <c r="Q60" s="124">
        <f t="shared" si="5"/>
        <v>33</v>
      </c>
      <c r="R60" s="125">
        <f t="shared" si="6"/>
        <v>55</v>
      </c>
      <c r="S60" s="52">
        <f t="shared" si="7"/>
        <v>1</v>
      </c>
      <c r="T60" s="126">
        <f t="shared" si="48"/>
        <v>0.1</v>
      </c>
      <c r="U60" s="52">
        <f t="shared" si="8"/>
        <v>1500</v>
      </c>
      <c r="V60" s="125">
        <f t="shared" si="29"/>
        <v>9405.2203006716918</v>
      </c>
      <c r="W60" s="52">
        <f t="shared" si="30"/>
        <v>150</v>
      </c>
      <c r="X60" s="87">
        <f t="shared" si="31"/>
        <v>376.20881202686769</v>
      </c>
      <c r="Y60" s="128">
        <f t="shared" si="32"/>
        <v>9931.429112698559</v>
      </c>
      <c r="AA60" s="124">
        <f t="shared" si="9"/>
        <v>33</v>
      </c>
      <c r="AB60" s="125">
        <f t="shared" si="10"/>
        <v>55</v>
      </c>
      <c r="AC60" s="125">
        <f t="shared" si="11"/>
        <v>0</v>
      </c>
      <c r="AD60" s="126">
        <f t="shared" si="49"/>
        <v>0.15</v>
      </c>
      <c r="AE60" s="125">
        <f t="shared" si="12"/>
        <v>5250</v>
      </c>
      <c r="AF60" s="125">
        <f t="shared" si="33"/>
        <v>0</v>
      </c>
      <c r="AG60" s="125">
        <f t="shared" si="34"/>
        <v>0</v>
      </c>
      <c r="AH60" s="125">
        <f t="shared" si="13"/>
        <v>0</v>
      </c>
      <c r="AI60" s="128">
        <f t="shared" si="35"/>
        <v>0</v>
      </c>
      <c r="AK60" s="124">
        <f t="shared" si="36"/>
        <v>33</v>
      </c>
      <c r="AL60" s="125">
        <f t="shared" si="36"/>
        <v>55</v>
      </c>
      <c r="AM60" s="125">
        <f t="shared" si="14"/>
        <v>1</v>
      </c>
      <c r="AN60" s="126">
        <f t="shared" si="15"/>
        <v>0.13500000000000001</v>
      </c>
      <c r="AO60" s="126">
        <f t="shared" si="16"/>
        <v>0.18</v>
      </c>
      <c r="AP60" s="207">
        <f t="shared" si="37"/>
        <v>5250</v>
      </c>
      <c r="AQ60" s="125">
        <f t="shared" si="38"/>
        <v>49377.406578526388</v>
      </c>
      <c r="AR60" s="52">
        <f t="shared" si="39"/>
        <v>787.5</v>
      </c>
      <c r="AS60" s="48">
        <f t="shared" si="40"/>
        <v>1975.0962631410555</v>
      </c>
      <c r="AT60" s="128">
        <f t="shared" si="41"/>
        <v>52140.002841667447</v>
      </c>
      <c r="AV60" s="124">
        <f t="shared" ref="AV60:AW76" si="51">+AK60</f>
        <v>33</v>
      </c>
      <c r="AW60" s="125">
        <f t="shared" si="51"/>
        <v>55</v>
      </c>
      <c r="AX60" s="48">
        <v>1</v>
      </c>
      <c r="AY60" s="126">
        <f t="shared" si="18"/>
        <v>0.13500000000000001</v>
      </c>
      <c r="AZ60" s="126">
        <f t="shared" si="19"/>
        <v>0.18</v>
      </c>
      <c r="BA60" s="207">
        <f t="shared" si="42"/>
        <v>5250</v>
      </c>
      <c r="BB60" s="125">
        <f t="shared" si="43"/>
        <v>49377.406578526388</v>
      </c>
      <c r="BC60" s="48">
        <f t="shared" si="44"/>
        <v>787.5</v>
      </c>
      <c r="BD60" s="48">
        <f t="shared" si="45"/>
        <v>1975.0962631410555</v>
      </c>
      <c r="BE60" s="128">
        <f t="shared" si="46"/>
        <v>52140.002841667447</v>
      </c>
    </row>
    <row r="61" spans="2:57" ht="15.75" thickTop="1" thickBot="1">
      <c r="B61" s="58">
        <f t="shared" ref="B61:C76" si="52">+B60+1</f>
        <v>34</v>
      </c>
      <c r="C61" s="52">
        <f t="shared" si="52"/>
        <v>55</v>
      </c>
      <c r="D61" s="185">
        <f t="shared" si="47"/>
        <v>1</v>
      </c>
      <c r="E61" s="48">
        <f t="shared" si="21"/>
        <v>700</v>
      </c>
      <c r="F61" s="205">
        <f t="shared" si="22"/>
        <v>7.5</v>
      </c>
      <c r="G61" s="192">
        <f t="shared" si="23"/>
        <v>5250</v>
      </c>
      <c r="I61" s="58">
        <f t="shared" si="24"/>
        <v>34</v>
      </c>
      <c r="J61" s="74">
        <f t="shared" si="25"/>
        <v>55</v>
      </c>
      <c r="K61" s="74">
        <f t="shared" si="3"/>
        <v>7.5</v>
      </c>
      <c r="L61" s="125">
        <f t="shared" si="26"/>
        <v>3750</v>
      </c>
      <c r="M61" s="74">
        <f t="shared" si="4"/>
        <v>1500</v>
      </c>
      <c r="N61" s="74">
        <f t="shared" si="27"/>
        <v>5250</v>
      </c>
      <c r="O61" s="180">
        <f t="shared" si="28"/>
        <v>700</v>
      </c>
      <c r="Q61" s="58">
        <f t="shared" si="5"/>
        <v>34</v>
      </c>
      <c r="R61" s="52">
        <f t="shared" si="6"/>
        <v>56</v>
      </c>
      <c r="S61" s="52">
        <f t="shared" si="7"/>
        <v>1</v>
      </c>
      <c r="T61" s="54">
        <f t="shared" si="48"/>
        <v>0.1</v>
      </c>
      <c r="U61" s="52">
        <f t="shared" si="8"/>
        <v>1500</v>
      </c>
      <c r="V61" s="52">
        <f t="shared" si="29"/>
        <v>9931.429112698559</v>
      </c>
      <c r="W61" s="52">
        <f t="shared" si="30"/>
        <v>150</v>
      </c>
      <c r="X61" s="87">
        <f t="shared" si="31"/>
        <v>397.25716450794238</v>
      </c>
      <c r="Y61" s="53">
        <f t="shared" si="32"/>
        <v>10478.686277206501</v>
      </c>
      <c r="AA61" s="58">
        <f t="shared" si="9"/>
        <v>34</v>
      </c>
      <c r="AB61" s="52">
        <f t="shared" si="10"/>
        <v>56</v>
      </c>
      <c r="AC61" s="52">
        <f t="shared" si="11"/>
        <v>0</v>
      </c>
      <c r="AD61" s="54">
        <f t="shared" si="49"/>
        <v>0.15</v>
      </c>
      <c r="AE61" s="52">
        <f t="shared" si="12"/>
        <v>5250</v>
      </c>
      <c r="AF61" s="52">
        <f t="shared" si="33"/>
        <v>0</v>
      </c>
      <c r="AG61" s="52">
        <f t="shared" si="34"/>
        <v>0</v>
      </c>
      <c r="AH61" s="52">
        <f t="shared" si="13"/>
        <v>0</v>
      </c>
      <c r="AI61" s="53">
        <f t="shared" si="35"/>
        <v>0</v>
      </c>
      <c r="AK61" s="58">
        <f t="shared" si="36"/>
        <v>34</v>
      </c>
      <c r="AL61" s="52">
        <f t="shared" si="36"/>
        <v>56</v>
      </c>
      <c r="AM61" s="52">
        <f t="shared" si="14"/>
        <v>1</v>
      </c>
      <c r="AN61" s="54">
        <f t="shared" si="15"/>
        <v>0.13500000000000001</v>
      </c>
      <c r="AO61" s="54">
        <f t="shared" si="16"/>
        <v>0.18</v>
      </c>
      <c r="AP61" s="207">
        <f t="shared" si="37"/>
        <v>5250</v>
      </c>
      <c r="AQ61" s="52">
        <f t="shared" si="38"/>
        <v>52140.002841667447</v>
      </c>
      <c r="AR61" s="52">
        <f t="shared" si="39"/>
        <v>787.5</v>
      </c>
      <c r="AS61" s="48">
        <f t="shared" si="40"/>
        <v>2085.6001136666978</v>
      </c>
      <c r="AT61" s="53">
        <f t="shared" si="41"/>
        <v>55013.102955334143</v>
      </c>
      <c r="AV61" s="58">
        <f t="shared" si="51"/>
        <v>34</v>
      </c>
      <c r="AW61" s="52">
        <f t="shared" si="51"/>
        <v>56</v>
      </c>
      <c r="AX61" s="48">
        <v>1</v>
      </c>
      <c r="AY61" s="54">
        <f t="shared" si="18"/>
        <v>0.13500000000000001</v>
      </c>
      <c r="AZ61" s="54">
        <f t="shared" si="19"/>
        <v>0.18</v>
      </c>
      <c r="BA61" s="207">
        <f t="shared" si="42"/>
        <v>5250</v>
      </c>
      <c r="BB61" s="52">
        <f t="shared" si="43"/>
        <v>52140.002841667447</v>
      </c>
      <c r="BC61" s="48">
        <f t="shared" si="44"/>
        <v>787.5</v>
      </c>
      <c r="BD61" s="48">
        <f t="shared" si="45"/>
        <v>2085.6001136666978</v>
      </c>
      <c r="BE61" s="53">
        <f t="shared" si="46"/>
        <v>55013.102955334143</v>
      </c>
    </row>
    <row r="62" spans="2:57" ht="15.75" thickTop="1" thickBot="1">
      <c r="B62" s="58">
        <f t="shared" si="52"/>
        <v>35</v>
      </c>
      <c r="C62" s="52">
        <f t="shared" si="52"/>
        <v>56</v>
      </c>
      <c r="D62" s="185">
        <f t="shared" si="47"/>
        <v>1</v>
      </c>
      <c r="E62" s="48">
        <f t="shared" si="21"/>
        <v>700</v>
      </c>
      <c r="F62" s="205">
        <f t="shared" si="22"/>
        <v>7.5</v>
      </c>
      <c r="G62" s="192">
        <f t="shared" si="23"/>
        <v>5250</v>
      </c>
      <c r="I62" s="58">
        <f t="shared" si="24"/>
        <v>35</v>
      </c>
      <c r="J62" s="74">
        <f t="shared" si="25"/>
        <v>56</v>
      </c>
      <c r="K62" s="74">
        <f t="shared" si="3"/>
        <v>7.5</v>
      </c>
      <c r="L62" s="52">
        <f t="shared" si="26"/>
        <v>3750</v>
      </c>
      <c r="M62" s="74">
        <f t="shared" si="4"/>
        <v>1500</v>
      </c>
      <c r="N62" s="74">
        <f t="shared" si="27"/>
        <v>5250</v>
      </c>
      <c r="O62" s="180">
        <f t="shared" si="28"/>
        <v>700</v>
      </c>
      <c r="Q62" s="58">
        <f t="shared" si="5"/>
        <v>35</v>
      </c>
      <c r="R62" s="52">
        <f t="shared" si="6"/>
        <v>57</v>
      </c>
      <c r="S62" s="52">
        <f t="shared" si="7"/>
        <v>1</v>
      </c>
      <c r="T62" s="54">
        <f t="shared" si="48"/>
        <v>0.1</v>
      </c>
      <c r="U62" s="52">
        <f t="shared" si="8"/>
        <v>1500</v>
      </c>
      <c r="V62" s="52">
        <f t="shared" si="29"/>
        <v>10478.686277206501</v>
      </c>
      <c r="W62" s="52">
        <f t="shared" si="30"/>
        <v>150</v>
      </c>
      <c r="X62" s="87">
        <f t="shared" si="31"/>
        <v>419.14745108826008</v>
      </c>
      <c r="Y62" s="53">
        <f t="shared" si="32"/>
        <v>11047.833728294761</v>
      </c>
      <c r="AA62" s="58">
        <f t="shared" si="9"/>
        <v>35</v>
      </c>
      <c r="AB62" s="52">
        <f t="shared" si="10"/>
        <v>57</v>
      </c>
      <c r="AC62" s="52">
        <f t="shared" si="11"/>
        <v>0</v>
      </c>
      <c r="AD62" s="54">
        <f t="shared" si="49"/>
        <v>0.15</v>
      </c>
      <c r="AE62" s="52">
        <f t="shared" si="12"/>
        <v>5250</v>
      </c>
      <c r="AF62" s="52">
        <f t="shared" si="33"/>
        <v>0</v>
      </c>
      <c r="AG62" s="52">
        <f t="shared" si="34"/>
        <v>0</v>
      </c>
      <c r="AH62" s="52">
        <f t="shared" si="13"/>
        <v>0</v>
      </c>
      <c r="AI62" s="53">
        <f t="shared" si="35"/>
        <v>0</v>
      </c>
      <c r="AK62" s="58">
        <f t="shared" si="36"/>
        <v>35</v>
      </c>
      <c r="AL62" s="52">
        <f t="shared" si="36"/>
        <v>57</v>
      </c>
      <c r="AM62" s="52">
        <f t="shared" si="14"/>
        <v>1</v>
      </c>
      <c r="AN62" s="54">
        <f t="shared" si="15"/>
        <v>0.13500000000000001</v>
      </c>
      <c r="AO62" s="54">
        <f t="shared" si="16"/>
        <v>0.18</v>
      </c>
      <c r="AP62" s="207">
        <f t="shared" si="37"/>
        <v>5250</v>
      </c>
      <c r="AQ62" s="52">
        <f t="shared" si="38"/>
        <v>55013.102955334143</v>
      </c>
      <c r="AR62" s="52">
        <f t="shared" si="39"/>
        <v>787.5</v>
      </c>
      <c r="AS62" s="48">
        <f t="shared" si="40"/>
        <v>2200.5241182133659</v>
      </c>
      <c r="AT62" s="53">
        <f t="shared" si="41"/>
        <v>58001.127073547512</v>
      </c>
      <c r="AV62" s="58">
        <f t="shared" si="51"/>
        <v>35</v>
      </c>
      <c r="AW62" s="52">
        <f t="shared" si="51"/>
        <v>57</v>
      </c>
      <c r="AX62" s="48">
        <v>1</v>
      </c>
      <c r="AY62" s="54">
        <f t="shared" si="18"/>
        <v>0.13500000000000001</v>
      </c>
      <c r="AZ62" s="54">
        <f t="shared" si="19"/>
        <v>0.18</v>
      </c>
      <c r="BA62" s="207">
        <f t="shared" si="42"/>
        <v>5250</v>
      </c>
      <c r="BB62" s="52">
        <f t="shared" si="43"/>
        <v>55013.102955334143</v>
      </c>
      <c r="BC62" s="48">
        <f t="shared" si="44"/>
        <v>787.5</v>
      </c>
      <c r="BD62" s="48">
        <f t="shared" si="45"/>
        <v>2200.5241182133659</v>
      </c>
      <c r="BE62" s="53">
        <f t="shared" si="46"/>
        <v>58001.127073547512</v>
      </c>
    </row>
    <row r="63" spans="2:57" ht="15.75" thickTop="1" thickBot="1">
      <c r="B63" s="58">
        <f t="shared" si="52"/>
        <v>36</v>
      </c>
      <c r="C63" s="52">
        <f t="shared" si="52"/>
        <v>57</v>
      </c>
      <c r="D63" s="185">
        <f t="shared" si="47"/>
        <v>1</v>
      </c>
      <c r="E63" s="48">
        <f t="shared" si="21"/>
        <v>700</v>
      </c>
      <c r="F63" s="205">
        <f t="shared" si="22"/>
        <v>7.5</v>
      </c>
      <c r="G63" s="192">
        <f t="shared" si="23"/>
        <v>5250</v>
      </c>
      <c r="I63" s="58">
        <f t="shared" si="24"/>
        <v>36</v>
      </c>
      <c r="J63" s="74">
        <f t="shared" si="25"/>
        <v>57</v>
      </c>
      <c r="K63" s="74">
        <f t="shared" si="3"/>
        <v>7.5</v>
      </c>
      <c r="L63" s="52">
        <f t="shared" si="26"/>
        <v>3750</v>
      </c>
      <c r="M63" s="74">
        <f t="shared" si="4"/>
        <v>1500</v>
      </c>
      <c r="N63" s="74">
        <f t="shared" si="27"/>
        <v>5250</v>
      </c>
      <c r="O63" s="180">
        <f t="shared" si="28"/>
        <v>700</v>
      </c>
      <c r="Q63" s="58">
        <f t="shared" si="5"/>
        <v>36</v>
      </c>
      <c r="R63" s="52">
        <f t="shared" si="6"/>
        <v>58</v>
      </c>
      <c r="S63" s="52">
        <f t="shared" si="7"/>
        <v>1</v>
      </c>
      <c r="T63" s="54">
        <f t="shared" si="48"/>
        <v>0.1</v>
      </c>
      <c r="U63" s="52">
        <f t="shared" si="8"/>
        <v>1500</v>
      </c>
      <c r="V63" s="52">
        <f t="shared" si="29"/>
        <v>11047.833728294761</v>
      </c>
      <c r="W63" s="52">
        <f t="shared" si="30"/>
        <v>150</v>
      </c>
      <c r="X63" s="87">
        <f t="shared" si="31"/>
        <v>441.91334913179048</v>
      </c>
      <c r="Y63" s="53">
        <f t="shared" si="32"/>
        <v>11639.747077426551</v>
      </c>
      <c r="AA63" s="58">
        <f t="shared" si="9"/>
        <v>36</v>
      </c>
      <c r="AB63" s="52">
        <f t="shared" si="10"/>
        <v>58</v>
      </c>
      <c r="AC63" s="52">
        <f t="shared" si="11"/>
        <v>0</v>
      </c>
      <c r="AD63" s="54">
        <f t="shared" si="49"/>
        <v>0.15</v>
      </c>
      <c r="AE63" s="52">
        <f t="shared" si="12"/>
        <v>5250</v>
      </c>
      <c r="AF63" s="52">
        <f t="shared" si="33"/>
        <v>0</v>
      </c>
      <c r="AG63" s="52">
        <f t="shared" si="34"/>
        <v>0</v>
      </c>
      <c r="AH63" s="52">
        <f t="shared" si="13"/>
        <v>0</v>
      </c>
      <c r="AI63" s="53">
        <f t="shared" si="35"/>
        <v>0</v>
      </c>
      <c r="AK63" s="58">
        <f t="shared" si="36"/>
        <v>36</v>
      </c>
      <c r="AL63" s="52">
        <f t="shared" si="36"/>
        <v>58</v>
      </c>
      <c r="AM63" s="52">
        <f t="shared" si="14"/>
        <v>1</v>
      </c>
      <c r="AN63" s="54">
        <f t="shared" si="15"/>
        <v>0.13500000000000001</v>
      </c>
      <c r="AO63" s="54">
        <f t="shared" si="16"/>
        <v>0.18</v>
      </c>
      <c r="AP63" s="207">
        <f t="shared" si="37"/>
        <v>5250</v>
      </c>
      <c r="AQ63" s="52">
        <f t="shared" si="38"/>
        <v>58001.127073547512</v>
      </c>
      <c r="AR63" s="52">
        <f t="shared" si="39"/>
        <v>787.5</v>
      </c>
      <c r="AS63" s="48">
        <f t="shared" si="40"/>
        <v>2320.0450829419005</v>
      </c>
      <c r="AT63" s="53">
        <f t="shared" si="41"/>
        <v>61108.672156489411</v>
      </c>
      <c r="AV63" s="58">
        <f t="shared" si="51"/>
        <v>36</v>
      </c>
      <c r="AW63" s="52">
        <f t="shared" si="51"/>
        <v>58</v>
      </c>
      <c r="AX63" s="48">
        <v>1</v>
      </c>
      <c r="AY63" s="54">
        <f t="shared" si="18"/>
        <v>0.13500000000000001</v>
      </c>
      <c r="AZ63" s="54">
        <f t="shared" si="19"/>
        <v>0.18</v>
      </c>
      <c r="BA63" s="207">
        <f t="shared" si="42"/>
        <v>5250</v>
      </c>
      <c r="BB63" s="52">
        <f t="shared" si="43"/>
        <v>58001.127073547512</v>
      </c>
      <c r="BC63" s="48">
        <f t="shared" si="44"/>
        <v>787.5</v>
      </c>
      <c r="BD63" s="48">
        <f t="shared" si="45"/>
        <v>2320.0450829419005</v>
      </c>
      <c r="BE63" s="53">
        <f t="shared" si="46"/>
        <v>61108.672156489411</v>
      </c>
    </row>
    <row r="64" spans="2:57" customFormat="1" ht="15.75" thickTop="1" thickBot="1">
      <c r="B64" s="124">
        <f t="shared" si="52"/>
        <v>37</v>
      </c>
      <c r="C64" s="125">
        <f t="shared" si="52"/>
        <v>58</v>
      </c>
      <c r="D64" s="186">
        <f t="shared" si="47"/>
        <v>1</v>
      </c>
      <c r="E64" s="127">
        <f t="shared" si="21"/>
        <v>700</v>
      </c>
      <c r="F64" s="229">
        <f t="shared" si="22"/>
        <v>7.5</v>
      </c>
      <c r="G64" s="192">
        <f t="shared" si="23"/>
        <v>5250</v>
      </c>
      <c r="I64" s="124">
        <f t="shared" si="24"/>
        <v>37</v>
      </c>
      <c r="J64" s="129">
        <f t="shared" si="25"/>
        <v>58</v>
      </c>
      <c r="K64" s="129">
        <f t="shared" si="3"/>
        <v>7.5</v>
      </c>
      <c r="L64" s="125">
        <f t="shared" si="26"/>
        <v>3750</v>
      </c>
      <c r="M64" s="129">
        <f t="shared" si="4"/>
        <v>1500</v>
      </c>
      <c r="N64" s="129">
        <f t="shared" si="27"/>
        <v>5250</v>
      </c>
      <c r="O64" s="180">
        <f t="shared" si="28"/>
        <v>700</v>
      </c>
      <c r="Q64" s="124">
        <f t="shared" si="5"/>
        <v>37</v>
      </c>
      <c r="R64" s="125">
        <f t="shared" si="6"/>
        <v>59</v>
      </c>
      <c r="S64" s="125">
        <f t="shared" si="7"/>
        <v>1</v>
      </c>
      <c r="T64" s="126">
        <f t="shared" si="48"/>
        <v>0.1</v>
      </c>
      <c r="U64" s="125">
        <f t="shared" si="8"/>
        <v>1500</v>
      </c>
      <c r="V64" s="125">
        <f t="shared" si="29"/>
        <v>11639.747077426551</v>
      </c>
      <c r="W64" s="125">
        <f t="shared" si="30"/>
        <v>150</v>
      </c>
      <c r="X64" s="234">
        <f t="shared" si="31"/>
        <v>465.58988309706206</v>
      </c>
      <c r="Y64" s="128">
        <f t="shared" si="32"/>
        <v>12255.336960523613</v>
      </c>
      <c r="AA64" s="124">
        <f t="shared" si="9"/>
        <v>37</v>
      </c>
      <c r="AB64" s="125">
        <f t="shared" si="10"/>
        <v>59</v>
      </c>
      <c r="AC64" s="125">
        <f t="shared" si="11"/>
        <v>0</v>
      </c>
      <c r="AD64" s="126">
        <f t="shared" si="49"/>
        <v>0.15</v>
      </c>
      <c r="AE64" s="125">
        <f t="shared" si="12"/>
        <v>5250</v>
      </c>
      <c r="AF64" s="125">
        <f t="shared" si="33"/>
        <v>0</v>
      </c>
      <c r="AG64" s="125">
        <f t="shared" si="34"/>
        <v>0</v>
      </c>
      <c r="AH64" s="125">
        <f t="shared" si="13"/>
        <v>0</v>
      </c>
      <c r="AI64" s="128">
        <f t="shared" si="35"/>
        <v>0</v>
      </c>
      <c r="AK64" s="124">
        <f t="shared" si="36"/>
        <v>37</v>
      </c>
      <c r="AL64" s="125">
        <f t="shared" si="36"/>
        <v>59</v>
      </c>
      <c r="AM64" s="125">
        <f t="shared" si="14"/>
        <v>1</v>
      </c>
      <c r="AN64" s="126">
        <f t="shared" si="15"/>
        <v>0.13500000000000001</v>
      </c>
      <c r="AO64" s="126">
        <f t="shared" si="16"/>
        <v>0.18</v>
      </c>
      <c r="AP64" s="230">
        <f t="shared" si="37"/>
        <v>5250</v>
      </c>
      <c r="AQ64" s="125">
        <f t="shared" si="38"/>
        <v>61108.672156489411</v>
      </c>
      <c r="AR64" s="125">
        <f t="shared" si="39"/>
        <v>787.5</v>
      </c>
      <c r="AS64" s="127">
        <f t="shared" si="40"/>
        <v>2444.3468862595764</v>
      </c>
      <c r="AT64" s="128">
        <f t="shared" si="41"/>
        <v>64340.519042748987</v>
      </c>
      <c r="AV64" s="124">
        <f t="shared" si="51"/>
        <v>37</v>
      </c>
      <c r="AW64" s="125">
        <f t="shared" si="51"/>
        <v>59</v>
      </c>
      <c r="AX64" s="127">
        <v>1</v>
      </c>
      <c r="AY64" s="126">
        <f t="shared" si="18"/>
        <v>0.13500000000000001</v>
      </c>
      <c r="AZ64" s="126">
        <f t="shared" si="19"/>
        <v>0.18</v>
      </c>
      <c r="BA64" s="230">
        <f t="shared" si="42"/>
        <v>5250</v>
      </c>
      <c r="BB64" s="125">
        <f t="shared" si="43"/>
        <v>61108.672156489411</v>
      </c>
      <c r="BC64" s="127">
        <f t="shared" si="44"/>
        <v>787.5</v>
      </c>
      <c r="BD64" s="127">
        <f t="shared" si="45"/>
        <v>2444.3468862595764</v>
      </c>
      <c r="BE64" s="128">
        <f t="shared" si="46"/>
        <v>64340.519042748987</v>
      </c>
    </row>
    <row r="65" spans="2:59" ht="15.75" thickTop="1" thickBot="1">
      <c r="B65" s="124">
        <f t="shared" si="52"/>
        <v>38</v>
      </c>
      <c r="C65" s="125">
        <f t="shared" si="52"/>
        <v>59</v>
      </c>
      <c r="D65" s="186">
        <f t="shared" si="47"/>
        <v>1</v>
      </c>
      <c r="E65" s="48">
        <f t="shared" si="21"/>
        <v>700</v>
      </c>
      <c r="F65" s="205">
        <f t="shared" si="22"/>
        <v>7.5</v>
      </c>
      <c r="G65" s="192">
        <f t="shared" si="23"/>
        <v>5250</v>
      </c>
      <c r="H65"/>
      <c r="I65" s="124">
        <f t="shared" si="24"/>
        <v>38</v>
      </c>
      <c r="J65" s="129">
        <f t="shared" si="25"/>
        <v>59</v>
      </c>
      <c r="K65" s="129">
        <f t="shared" si="3"/>
        <v>7.5</v>
      </c>
      <c r="L65" s="125">
        <f t="shared" si="26"/>
        <v>3750</v>
      </c>
      <c r="M65" s="129">
        <f t="shared" si="4"/>
        <v>1500</v>
      </c>
      <c r="N65" s="129">
        <f t="shared" si="27"/>
        <v>5250</v>
      </c>
      <c r="O65" s="180">
        <f t="shared" si="28"/>
        <v>700</v>
      </c>
      <c r="P65"/>
      <c r="Q65" s="124">
        <f t="shared" si="5"/>
        <v>38</v>
      </c>
      <c r="R65" s="125">
        <f t="shared" si="6"/>
        <v>60</v>
      </c>
      <c r="S65" s="125">
        <f t="shared" si="7"/>
        <v>1</v>
      </c>
      <c r="T65" s="126">
        <f t="shared" si="48"/>
        <v>0.1</v>
      </c>
      <c r="U65" s="125">
        <f t="shared" si="8"/>
        <v>1500</v>
      </c>
      <c r="V65" s="125">
        <f t="shared" si="29"/>
        <v>12255.336960523613</v>
      </c>
      <c r="W65" s="125">
        <f t="shared" si="30"/>
        <v>150</v>
      </c>
      <c r="X65" s="87">
        <f t="shared" si="31"/>
        <v>490.21347842094451</v>
      </c>
      <c r="Y65" s="128">
        <f t="shared" si="32"/>
        <v>12895.550438944558</v>
      </c>
      <c r="Z65"/>
      <c r="AA65" s="124">
        <f t="shared" si="9"/>
        <v>38</v>
      </c>
      <c r="AB65" s="125">
        <f t="shared" si="10"/>
        <v>60</v>
      </c>
      <c r="AC65" s="125">
        <f t="shared" si="11"/>
        <v>0</v>
      </c>
      <c r="AD65" s="126">
        <f t="shared" si="49"/>
        <v>0.15</v>
      </c>
      <c r="AE65" s="125">
        <f t="shared" si="12"/>
        <v>5250</v>
      </c>
      <c r="AF65" s="125">
        <f t="shared" si="33"/>
        <v>0</v>
      </c>
      <c r="AG65" s="125">
        <f t="shared" si="34"/>
        <v>0</v>
      </c>
      <c r="AH65" s="125">
        <f t="shared" si="13"/>
        <v>0</v>
      </c>
      <c r="AI65" s="128">
        <f t="shared" si="35"/>
        <v>0</v>
      </c>
      <c r="AK65" s="124">
        <f t="shared" si="36"/>
        <v>38</v>
      </c>
      <c r="AL65" s="125">
        <f t="shared" si="36"/>
        <v>60</v>
      </c>
      <c r="AM65" s="125">
        <f t="shared" si="14"/>
        <v>1</v>
      </c>
      <c r="AN65" s="126">
        <f t="shared" si="15"/>
        <v>0.13500000000000001</v>
      </c>
      <c r="AO65" s="126">
        <f t="shared" si="16"/>
        <v>0.18</v>
      </c>
      <c r="AP65" s="230">
        <f t="shared" si="37"/>
        <v>5250</v>
      </c>
      <c r="AQ65" s="125">
        <f t="shared" si="38"/>
        <v>64340.519042748987</v>
      </c>
      <c r="AR65" s="125">
        <f t="shared" si="39"/>
        <v>787.5</v>
      </c>
      <c r="AS65" s="127">
        <f t="shared" si="40"/>
        <v>2573.6207617099594</v>
      </c>
      <c r="AT65" s="128">
        <f t="shared" si="41"/>
        <v>67701.639804458944</v>
      </c>
      <c r="AU65"/>
      <c r="AV65" s="124">
        <f t="shared" si="51"/>
        <v>38</v>
      </c>
      <c r="AW65" s="125">
        <f t="shared" si="51"/>
        <v>60</v>
      </c>
      <c r="AX65" s="127">
        <v>1</v>
      </c>
      <c r="AY65" s="126">
        <f t="shared" si="18"/>
        <v>0.13500000000000001</v>
      </c>
      <c r="AZ65" s="126">
        <f t="shared" si="19"/>
        <v>0.18</v>
      </c>
      <c r="BA65" s="230">
        <f t="shared" si="42"/>
        <v>5250</v>
      </c>
      <c r="BB65" s="125">
        <f t="shared" si="43"/>
        <v>64340.519042748987</v>
      </c>
      <c r="BC65" s="127">
        <f t="shared" si="44"/>
        <v>787.5</v>
      </c>
      <c r="BD65" s="127">
        <f t="shared" si="45"/>
        <v>2573.6207617099594</v>
      </c>
      <c r="BE65" s="128">
        <f t="shared" si="46"/>
        <v>67701.639804458944</v>
      </c>
      <c r="BG65"/>
    </row>
    <row r="66" spans="2:59" ht="15.75" thickTop="1" thickBot="1">
      <c r="B66" s="124">
        <f t="shared" si="52"/>
        <v>39</v>
      </c>
      <c r="C66" s="125">
        <f t="shared" si="52"/>
        <v>60</v>
      </c>
      <c r="D66" s="185">
        <f t="shared" si="47"/>
        <v>1</v>
      </c>
      <c r="E66" s="48">
        <f t="shared" si="21"/>
        <v>700</v>
      </c>
      <c r="F66" s="205">
        <f t="shared" si="22"/>
        <v>7.5</v>
      </c>
      <c r="G66" s="192">
        <f t="shared" si="23"/>
        <v>5250</v>
      </c>
      <c r="I66" s="124">
        <f t="shared" si="24"/>
        <v>39</v>
      </c>
      <c r="J66" s="129">
        <f t="shared" si="25"/>
        <v>60</v>
      </c>
      <c r="K66" s="129">
        <f t="shared" si="3"/>
        <v>7.5</v>
      </c>
      <c r="L66" s="125">
        <f t="shared" si="26"/>
        <v>3750</v>
      </c>
      <c r="M66" s="129">
        <f t="shared" si="4"/>
        <v>1500</v>
      </c>
      <c r="N66" s="129">
        <f t="shared" si="27"/>
        <v>5250</v>
      </c>
      <c r="O66" s="180">
        <f t="shared" si="28"/>
        <v>700</v>
      </c>
      <c r="Q66" s="124">
        <f t="shared" si="5"/>
        <v>39</v>
      </c>
      <c r="R66" s="125">
        <f t="shared" si="6"/>
        <v>61</v>
      </c>
      <c r="S66" s="125">
        <f t="shared" si="7"/>
        <v>1</v>
      </c>
      <c r="T66" s="126">
        <f t="shared" si="48"/>
        <v>0.1</v>
      </c>
      <c r="U66" s="125">
        <f t="shared" si="8"/>
        <v>1500</v>
      </c>
      <c r="V66" s="125">
        <f t="shared" si="29"/>
        <v>12895.550438944558</v>
      </c>
      <c r="W66" s="125">
        <f t="shared" si="30"/>
        <v>150</v>
      </c>
      <c r="X66" s="87">
        <f t="shared" si="31"/>
        <v>515.82201755778237</v>
      </c>
      <c r="Y66" s="128">
        <f t="shared" si="32"/>
        <v>13561.37245650234</v>
      </c>
      <c r="AA66" s="124">
        <f t="shared" si="9"/>
        <v>39</v>
      </c>
      <c r="AB66" s="125">
        <f t="shared" si="10"/>
        <v>61</v>
      </c>
      <c r="AC66" s="125">
        <f t="shared" si="11"/>
        <v>0</v>
      </c>
      <c r="AD66" s="126">
        <f t="shared" si="49"/>
        <v>0.15</v>
      </c>
      <c r="AE66" s="125">
        <f t="shared" si="12"/>
        <v>5250</v>
      </c>
      <c r="AF66" s="125">
        <f t="shared" si="33"/>
        <v>0</v>
      </c>
      <c r="AG66" s="125">
        <f t="shared" si="34"/>
        <v>0</v>
      </c>
      <c r="AH66" s="125">
        <f t="shared" si="13"/>
        <v>0</v>
      </c>
      <c r="AI66" s="128">
        <f t="shared" si="35"/>
        <v>0</v>
      </c>
      <c r="AK66" s="124">
        <f t="shared" si="36"/>
        <v>39</v>
      </c>
      <c r="AL66" s="125">
        <f t="shared" si="36"/>
        <v>61</v>
      </c>
      <c r="AM66" s="125">
        <v>1</v>
      </c>
      <c r="AN66" s="126">
        <f t="shared" si="15"/>
        <v>0.13500000000000001</v>
      </c>
      <c r="AO66" s="126">
        <f t="shared" si="16"/>
        <v>0.18</v>
      </c>
      <c r="AP66" s="207">
        <f t="shared" si="37"/>
        <v>5250</v>
      </c>
      <c r="AQ66" s="125">
        <f t="shared" si="38"/>
        <v>67701.639804458944</v>
      </c>
      <c r="AR66" s="52">
        <f t="shared" si="39"/>
        <v>787.5</v>
      </c>
      <c r="AS66" s="48">
        <f t="shared" si="40"/>
        <v>2708.0655921783577</v>
      </c>
      <c r="AT66" s="128">
        <f t="shared" si="41"/>
        <v>71197.205396637306</v>
      </c>
      <c r="AV66" s="124">
        <f t="shared" si="51"/>
        <v>39</v>
      </c>
      <c r="AW66" s="125">
        <f t="shared" si="51"/>
        <v>61</v>
      </c>
      <c r="AX66" s="127">
        <v>1</v>
      </c>
      <c r="AY66" s="126">
        <f t="shared" si="18"/>
        <v>0.13500000000000001</v>
      </c>
      <c r="AZ66" s="126">
        <f t="shared" si="19"/>
        <v>0.18</v>
      </c>
      <c r="BA66" s="207">
        <f t="shared" si="42"/>
        <v>5250</v>
      </c>
      <c r="BB66" s="125">
        <f t="shared" si="43"/>
        <v>67701.639804458944</v>
      </c>
      <c r="BC66" s="48">
        <f t="shared" si="44"/>
        <v>787.5</v>
      </c>
      <c r="BD66" s="48">
        <f t="shared" si="45"/>
        <v>2708.0655921783577</v>
      </c>
      <c r="BE66" s="128">
        <f t="shared" si="46"/>
        <v>71197.205396637306</v>
      </c>
    </row>
    <row r="67" spans="2:59" s="1" customFormat="1" ht="15.75" thickTop="1" thickBot="1">
      <c r="B67" s="157">
        <f t="shared" si="52"/>
        <v>40</v>
      </c>
      <c r="C67" s="158">
        <f t="shared" si="52"/>
        <v>61</v>
      </c>
      <c r="D67" s="187">
        <f t="shared" si="47"/>
        <v>1</v>
      </c>
      <c r="E67" s="183">
        <f t="shared" si="21"/>
        <v>700</v>
      </c>
      <c r="F67" s="206">
        <f t="shared" si="22"/>
        <v>7.5</v>
      </c>
      <c r="G67" s="232">
        <f t="shared" si="23"/>
        <v>5250</v>
      </c>
      <c r="I67" s="157">
        <f t="shared" si="24"/>
        <v>40</v>
      </c>
      <c r="J67" s="161">
        <f t="shared" si="25"/>
        <v>61</v>
      </c>
      <c r="K67" s="161">
        <f t="shared" si="3"/>
        <v>7.5</v>
      </c>
      <c r="L67" s="158">
        <f t="shared" si="26"/>
        <v>3750</v>
      </c>
      <c r="M67" s="161">
        <f t="shared" si="4"/>
        <v>1500</v>
      </c>
      <c r="N67" s="161">
        <f t="shared" si="27"/>
        <v>5250</v>
      </c>
      <c r="O67" s="182">
        <f t="shared" si="28"/>
        <v>700</v>
      </c>
      <c r="Q67" s="157">
        <f t="shared" si="5"/>
        <v>40</v>
      </c>
      <c r="R67" s="158">
        <f t="shared" si="6"/>
        <v>62</v>
      </c>
      <c r="S67" s="158">
        <v>1</v>
      </c>
      <c r="T67" s="159">
        <f t="shared" si="48"/>
        <v>0.1</v>
      </c>
      <c r="U67" s="158">
        <f t="shared" si="8"/>
        <v>1500</v>
      </c>
      <c r="V67" s="158">
        <f t="shared" si="29"/>
        <v>13561.37245650234</v>
      </c>
      <c r="W67" s="158">
        <f t="shared" si="30"/>
        <v>150</v>
      </c>
      <c r="X67" s="233">
        <f t="shared" si="31"/>
        <v>542.45489826009361</v>
      </c>
      <c r="Y67" s="160">
        <f t="shared" si="32"/>
        <v>14253.827354762434</v>
      </c>
      <c r="AA67" s="157">
        <f t="shared" si="9"/>
        <v>40</v>
      </c>
      <c r="AB67" s="158">
        <f t="shared" si="10"/>
        <v>62</v>
      </c>
      <c r="AC67" s="158">
        <f t="shared" si="11"/>
        <v>0</v>
      </c>
      <c r="AD67" s="159">
        <f t="shared" si="49"/>
        <v>0.15</v>
      </c>
      <c r="AE67" s="158">
        <f t="shared" si="12"/>
        <v>5250</v>
      </c>
      <c r="AF67" s="158">
        <f t="shared" si="33"/>
        <v>0</v>
      </c>
      <c r="AG67" s="158">
        <f t="shared" si="34"/>
        <v>0</v>
      </c>
      <c r="AH67" s="158">
        <f t="shared" si="13"/>
        <v>0</v>
      </c>
      <c r="AI67" s="160">
        <f t="shared" si="35"/>
        <v>0</v>
      </c>
      <c r="AK67" s="157">
        <f t="shared" si="36"/>
        <v>40</v>
      </c>
      <c r="AL67" s="158">
        <f t="shared" si="36"/>
        <v>62</v>
      </c>
      <c r="AM67" s="158">
        <v>1</v>
      </c>
      <c r="AN67" s="159">
        <f t="shared" si="15"/>
        <v>0.13500000000000001</v>
      </c>
      <c r="AO67" s="159">
        <f t="shared" si="16"/>
        <v>0.18</v>
      </c>
      <c r="AP67" s="228">
        <f t="shared" si="37"/>
        <v>5250</v>
      </c>
      <c r="AQ67" s="158">
        <f t="shared" si="38"/>
        <v>71197.205396637306</v>
      </c>
      <c r="AR67" s="158">
        <f t="shared" si="39"/>
        <v>787.5</v>
      </c>
      <c r="AS67" s="183">
        <f t="shared" si="40"/>
        <v>2847.8882158654924</v>
      </c>
      <c r="AT67" s="160">
        <f t="shared" si="41"/>
        <v>74832.593612502795</v>
      </c>
      <c r="AV67" s="157">
        <f t="shared" si="51"/>
        <v>40</v>
      </c>
      <c r="AW67" s="158">
        <f t="shared" si="51"/>
        <v>62</v>
      </c>
      <c r="AX67" s="183">
        <v>1</v>
      </c>
      <c r="AY67" s="159">
        <f t="shared" si="18"/>
        <v>0.13500000000000001</v>
      </c>
      <c r="AZ67" s="159">
        <f t="shared" si="19"/>
        <v>0.18</v>
      </c>
      <c r="BA67" s="228">
        <f t="shared" si="42"/>
        <v>5250</v>
      </c>
      <c r="BB67" s="158">
        <f t="shared" si="43"/>
        <v>71197.205396637306</v>
      </c>
      <c r="BC67" s="183">
        <f t="shared" si="44"/>
        <v>787.5</v>
      </c>
      <c r="BD67" s="183">
        <f t="shared" si="45"/>
        <v>2847.8882158654924</v>
      </c>
      <c r="BE67" s="160">
        <f t="shared" si="46"/>
        <v>74832.593612502795</v>
      </c>
    </row>
    <row r="68" spans="2:59" ht="15.75" thickTop="1" thickBot="1">
      <c r="B68" s="58">
        <f t="shared" si="52"/>
        <v>41</v>
      </c>
      <c r="C68" s="52">
        <f t="shared" si="52"/>
        <v>62</v>
      </c>
      <c r="D68" s="185">
        <f t="shared" si="47"/>
        <v>1</v>
      </c>
      <c r="E68" s="48">
        <f t="shared" si="21"/>
        <v>0</v>
      </c>
      <c r="F68" s="205">
        <f t="shared" si="22"/>
        <v>0</v>
      </c>
      <c r="G68" s="192">
        <f t="shared" si="23"/>
        <v>0</v>
      </c>
      <c r="I68" s="58">
        <f t="shared" si="24"/>
        <v>41</v>
      </c>
      <c r="J68" s="74">
        <f t="shared" si="25"/>
        <v>62</v>
      </c>
      <c r="K68" s="74">
        <f t="shared" si="3"/>
        <v>0</v>
      </c>
      <c r="L68" s="52">
        <f t="shared" si="26"/>
        <v>0</v>
      </c>
      <c r="M68" s="74">
        <f t="shared" si="4"/>
        <v>0</v>
      </c>
      <c r="N68" s="74">
        <f t="shared" si="27"/>
        <v>0</v>
      </c>
      <c r="O68" s="180">
        <f t="shared" si="28"/>
        <v>0</v>
      </c>
      <c r="Q68" s="58">
        <f t="shared" si="5"/>
        <v>41</v>
      </c>
      <c r="R68" s="52">
        <f t="shared" si="6"/>
        <v>63</v>
      </c>
      <c r="S68" s="52">
        <f t="shared" si="7"/>
        <v>0</v>
      </c>
      <c r="T68" s="54">
        <f t="shared" si="48"/>
        <v>0.1</v>
      </c>
      <c r="U68" s="52">
        <f t="shared" si="8"/>
        <v>0</v>
      </c>
      <c r="V68" s="52">
        <f t="shared" si="29"/>
        <v>14253.827354762434</v>
      </c>
      <c r="W68" s="52">
        <f t="shared" si="30"/>
        <v>0</v>
      </c>
      <c r="X68" s="87">
        <f t="shared" si="31"/>
        <v>570.15309419049743</v>
      </c>
      <c r="Y68" s="53">
        <f t="shared" si="32"/>
        <v>14823.980448952931</v>
      </c>
      <c r="AA68" s="58">
        <f t="shared" si="9"/>
        <v>41</v>
      </c>
      <c r="AB68" s="52">
        <f t="shared" si="10"/>
        <v>63</v>
      </c>
      <c r="AC68" s="52">
        <f t="shared" si="11"/>
        <v>0</v>
      </c>
      <c r="AD68" s="54">
        <f t="shared" si="49"/>
        <v>0.15</v>
      </c>
      <c r="AE68" s="52">
        <f t="shared" si="12"/>
        <v>0</v>
      </c>
      <c r="AF68" s="52">
        <f t="shared" si="33"/>
        <v>0</v>
      </c>
      <c r="AG68" s="52">
        <f t="shared" si="34"/>
        <v>0</v>
      </c>
      <c r="AH68" s="52">
        <f t="shared" si="13"/>
        <v>0</v>
      </c>
      <c r="AI68" s="53">
        <f t="shared" si="35"/>
        <v>0</v>
      </c>
      <c r="AK68" s="58">
        <f t="shared" si="36"/>
        <v>41</v>
      </c>
      <c r="AL68" s="52">
        <f t="shared" si="36"/>
        <v>63</v>
      </c>
      <c r="AM68" s="52">
        <v>0</v>
      </c>
      <c r="AN68" s="54">
        <f t="shared" si="15"/>
        <v>0</v>
      </c>
      <c r="AO68" s="54">
        <f t="shared" si="16"/>
        <v>0</v>
      </c>
      <c r="AP68" s="207">
        <f t="shared" si="37"/>
        <v>0</v>
      </c>
      <c r="AQ68" s="52">
        <f t="shared" si="38"/>
        <v>74832.593612502795</v>
      </c>
      <c r="AR68" s="52">
        <f t="shared" si="39"/>
        <v>0</v>
      </c>
      <c r="AS68" s="48">
        <f t="shared" si="40"/>
        <v>2993.3037445001119</v>
      </c>
      <c r="AT68" s="53">
        <f t="shared" si="41"/>
        <v>77825.897357002905</v>
      </c>
      <c r="AV68" s="58">
        <f t="shared" si="51"/>
        <v>41</v>
      </c>
      <c r="AW68" s="52">
        <f t="shared" si="51"/>
        <v>63</v>
      </c>
      <c r="AX68" s="183">
        <v>0</v>
      </c>
      <c r="AY68" s="54">
        <f t="shared" si="18"/>
        <v>0</v>
      </c>
      <c r="AZ68" s="54">
        <f t="shared" si="19"/>
        <v>0</v>
      </c>
      <c r="BA68" s="207">
        <f t="shared" si="42"/>
        <v>0</v>
      </c>
      <c r="BB68" s="52">
        <f t="shared" si="43"/>
        <v>74832.593612502795</v>
      </c>
      <c r="BC68" s="48">
        <f t="shared" si="44"/>
        <v>0</v>
      </c>
      <c r="BD68" s="48">
        <f t="shared" si="45"/>
        <v>2993.3037445001119</v>
      </c>
      <c r="BE68" s="53">
        <f t="shared" si="46"/>
        <v>77825.897357002905</v>
      </c>
    </row>
    <row r="69" spans="2:59" ht="15.75" thickTop="1" thickBot="1">
      <c r="B69" s="58">
        <f t="shared" si="52"/>
        <v>42</v>
      </c>
      <c r="C69" s="52">
        <f t="shared" si="52"/>
        <v>63</v>
      </c>
      <c r="D69" s="185">
        <f t="shared" si="47"/>
        <v>1</v>
      </c>
      <c r="E69" s="48">
        <f t="shared" si="21"/>
        <v>0</v>
      </c>
      <c r="F69" s="205">
        <f t="shared" si="22"/>
        <v>0</v>
      </c>
      <c r="G69" s="192">
        <f t="shared" si="23"/>
        <v>0</v>
      </c>
      <c r="I69" s="58">
        <f t="shared" si="24"/>
        <v>42</v>
      </c>
      <c r="J69" s="74">
        <f t="shared" si="25"/>
        <v>63</v>
      </c>
      <c r="K69" s="74">
        <f t="shared" si="3"/>
        <v>0</v>
      </c>
      <c r="L69" s="52">
        <f t="shared" si="26"/>
        <v>0</v>
      </c>
      <c r="M69" s="74">
        <f t="shared" si="4"/>
        <v>0</v>
      </c>
      <c r="N69" s="74">
        <f t="shared" si="27"/>
        <v>0</v>
      </c>
      <c r="O69" s="180">
        <f t="shared" si="28"/>
        <v>0</v>
      </c>
      <c r="Q69" s="124">
        <f t="shared" si="5"/>
        <v>42</v>
      </c>
      <c r="R69" s="125">
        <f t="shared" si="6"/>
        <v>64</v>
      </c>
      <c r="S69" s="125">
        <f t="shared" si="7"/>
        <v>0</v>
      </c>
      <c r="T69" s="126">
        <f t="shared" si="48"/>
        <v>0.1</v>
      </c>
      <c r="U69" s="125">
        <f t="shared" si="8"/>
        <v>0</v>
      </c>
      <c r="V69" s="125">
        <f t="shared" si="29"/>
        <v>14823.980448952931</v>
      </c>
      <c r="W69" s="125">
        <f t="shared" si="30"/>
        <v>0</v>
      </c>
      <c r="X69" s="87">
        <f t="shared" si="31"/>
        <v>592.95921795811728</v>
      </c>
      <c r="Y69" s="128">
        <f t="shared" si="32"/>
        <v>15416.939666911048</v>
      </c>
      <c r="AA69" s="58">
        <f t="shared" si="9"/>
        <v>42</v>
      </c>
      <c r="AB69" s="52">
        <f t="shared" si="10"/>
        <v>64</v>
      </c>
      <c r="AC69" s="52">
        <f t="shared" si="11"/>
        <v>0</v>
      </c>
      <c r="AD69" s="54">
        <f t="shared" si="49"/>
        <v>0.15</v>
      </c>
      <c r="AE69" s="52">
        <f t="shared" si="12"/>
        <v>0</v>
      </c>
      <c r="AF69" s="52">
        <f t="shared" si="33"/>
        <v>0</v>
      </c>
      <c r="AG69" s="52">
        <f t="shared" si="34"/>
        <v>0</v>
      </c>
      <c r="AH69" s="52">
        <f t="shared" si="13"/>
        <v>0</v>
      </c>
      <c r="AI69" s="53">
        <f t="shared" si="35"/>
        <v>0</v>
      </c>
      <c r="AK69" s="58">
        <f t="shared" si="36"/>
        <v>42</v>
      </c>
      <c r="AL69" s="52">
        <f t="shared" si="36"/>
        <v>64</v>
      </c>
      <c r="AM69" s="52">
        <v>0</v>
      </c>
      <c r="AN69" s="54">
        <f t="shared" si="15"/>
        <v>0</v>
      </c>
      <c r="AO69" s="54">
        <f t="shared" si="16"/>
        <v>0</v>
      </c>
      <c r="AP69" s="207">
        <f t="shared" si="37"/>
        <v>0</v>
      </c>
      <c r="AQ69" s="52">
        <f t="shared" si="38"/>
        <v>77825.897357002905</v>
      </c>
      <c r="AR69" s="52">
        <f t="shared" si="39"/>
        <v>0</v>
      </c>
      <c r="AS69" s="48">
        <f t="shared" si="40"/>
        <v>3113.0358942801163</v>
      </c>
      <c r="AT69" s="53">
        <f t="shared" si="41"/>
        <v>80938.933251283015</v>
      </c>
      <c r="AV69" s="58">
        <f t="shared" si="51"/>
        <v>42</v>
      </c>
      <c r="AW69" s="52">
        <f t="shared" si="51"/>
        <v>64</v>
      </c>
      <c r="AX69" s="183">
        <v>0</v>
      </c>
      <c r="AY69" s="54">
        <f t="shared" si="18"/>
        <v>0</v>
      </c>
      <c r="AZ69" s="54">
        <f t="shared" si="19"/>
        <v>0</v>
      </c>
      <c r="BA69" s="207">
        <f t="shared" si="42"/>
        <v>0</v>
      </c>
      <c r="BB69" s="52">
        <f t="shared" si="43"/>
        <v>77825.897357002905</v>
      </c>
      <c r="BC69" s="48">
        <f t="shared" si="44"/>
        <v>0</v>
      </c>
      <c r="BD69" s="48">
        <f t="shared" si="45"/>
        <v>3113.0358942801163</v>
      </c>
      <c r="BE69" s="53">
        <f t="shared" si="46"/>
        <v>80938.933251283015</v>
      </c>
    </row>
    <row r="70" spans="2:59" ht="15.75" thickTop="1" thickBot="1">
      <c r="B70" s="124">
        <f t="shared" si="52"/>
        <v>43</v>
      </c>
      <c r="C70" s="125">
        <f t="shared" si="52"/>
        <v>64</v>
      </c>
      <c r="D70" s="185">
        <f t="shared" si="47"/>
        <v>1</v>
      </c>
      <c r="E70" s="48">
        <f t="shared" si="21"/>
        <v>0</v>
      </c>
      <c r="F70" s="205">
        <f t="shared" si="22"/>
        <v>0</v>
      </c>
      <c r="G70" s="192">
        <f t="shared" si="23"/>
        <v>0</v>
      </c>
      <c r="I70" s="124">
        <f t="shared" si="24"/>
        <v>43</v>
      </c>
      <c r="J70" s="129">
        <f t="shared" si="25"/>
        <v>64</v>
      </c>
      <c r="K70" s="129">
        <f t="shared" si="3"/>
        <v>0</v>
      </c>
      <c r="L70" s="125">
        <f t="shared" si="26"/>
        <v>0</v>
      </c>
      <c r="M70" s="129">
        <f t="shared" si="4"/>
        <v>0</v>
      </c>
      <c r="N70" s="129">
        <f t="shared" si="27"/>
        <v>0</v>
      </c>
      <c r="O70" s="180">
        <f t="shared" si="28"/>
        <v>0</v>
      </c>
      <c r="P70"/>
      <c r="Q70" s="124">
        <f t="shared" si="5"/>
        <v>43</v>
      </c>
      <c r="R70" s="125">
        <f t="shared" si="6"/>
        <v>65</v>
      </c>
      <c r="S70" s="125">
        <f t="shared" si="7"/>
        <v>0</v>
      </c>
      <c r="T70" s="126">
        <f t="shared" si="48"/>
        <v>0.1</v>
      </c>
      <c r="U70" s="125">
        <f t="shared" si="8"/>
        <v>0</v>
      </c>
      <c r="V70" s="125">
        <f t="shared" si="29"/>
        <v>15416.939666911048</v>
      </c>
      <c r="W70" s="125">
        <f t="shared" si="30"/>
        <v>0</v>
      </c>
      <c r="X70" s="87">
        <f t="shared" si="31"/>
        <v>616.67758667644193</v>
      </c>
      <c r="Y70" s="128">
        <f t="shared" si="32"/>
        <v>16033.61725358749</v>
      </c>
      <c r="Z70"/>
      <c r="AA70" s="124">
        <f t="shared" si="9"/>
        <v>43</v>
      </c>
      <c r="AB70" s="125">
        <f t="shared" si="10"/>
        <v>65</v>
      </c>
      <c r="AC70" s="125">
        <f t="shared" si="11"/>
        <v>0</v>
      </c>
      <c r="AD70" s="126">
        <f t="shared" si="49"/>
        <v>0.15</v>
      </c>
      <c r="AE70" s="125">
        <f t="shared" si="12"/>
        <v>0</v>
      </c>
      <c r="AF70" s="125">
        <f t="shared" si="33"/>
        <v>0</v>
      </c>
      <c r="AG70" s="125">
        <f t="shared" si="34"/>
        <v>0</v>
      </c>
      <c r="AH70" s="125">
        <f t="shared" si="13"/>
        <v>0</v>
      </c>
      <c r="AI70" s="128">
        <f t="shared" si="35"/>
        <v>0</v>
      </c>
      <c r="AK70" s="124">
        <f t="shared" si="36"/>
        <v>43</v>
      </c>
      <c r="AL70" s="125">
        <f t="shared" si="36"/>
        <v>65</v>
      </c>
      <c r="AM70" s="52">
        <v>0</v>
      </c>
      <c r="AN70" s="126">
        <f t="shared" si="15"/>
        <v>0</v>
      </c>
      <c r="AO70" s="126">
        <f t="shared" si="16"/>
        <v>0</v>
      </c>
      <c r="AP70" s="207">
        <f t="shared" si="37"/>
        <v>0</v>
      </c>
      <c r="AQ70" s="125">
        <f t="shared" si="38"/>
        <v>80938.933251283015</v>
      </c>
      <c r="AR70" s="52">
        <f t="shared" si="39"/>
        <v>0</v>
      </c>
      <c r="AS70" s="48">
        <f t="shared" si="40"/>
        <v>3237.5573300513206</v>
      </c>
      <c r="AT70" s="128">
        <f t="shared" si="41"/>
        <v>84176.490581334336</v>
      </c>
      <c r="AU70"/>
      <c r="AV70" s="124">
        <f t="shared" si="51"/>
        <v>43</v>
      </c>
      <c r="AW70" s="125">
        <f t="shared" si="51"/>
        <v>65</v>
      </c>
      <c r="AX70" s="183">
        <v>0</v>
      </c>
      <c r="AY70" s="126">
        <f t="shared" si="18"/>
        <v>0</v>
      </c>
      <c r="AZ70" s="126">
        <f t="shared" si="19"/>
        <v>0</v>
      </c>
      <c r="BA70" s="207">
        <f t="shared" si="42"/>
        <v>0</v>
      </c>
      <c r="BB70" s="125">
        <f t="shared" si="43"/>
        <v>80938.933251283015</v>
      </c>
      <c r="BC70" s="48">
        <f t="shared" si="44"/>
        <v>0</v>
      </c>
      <c r="BD70" s="48">
        <f t="shared" si="45"/>
        <v>3237.5573300513206</v>
      </c>
      <c r="BE70" s="128">
        <f t="shared" si="46"/>
        <v>84176.490581334336</v>
      </c>
      <c r="BG70"/>
    </row>
    <row r="71" spans="2:59" ht="15.75" thickTop="1" thickBot="1">
      <c r="B71" s="124">
        <f t="shared" si="52"/>
        <v>44</v>
      </c>
      <c r="C71" s="125">
        <f t="shared" si="52"/>
        <v>65</v>
      </c>
      <c r="D71" s="185">
        <f t="shared" si="47"/>
        <v>1</v>
      </c>
      <c r="E71" s="48">
        <f t="shared" si="21"/>
        <v>0</v>
      </c>
      <c r="F71" s="205">
        <f t="shared" si="22"/>
        <v>0</v>
      </c>
      <c r="G71" s="192">
        <f t="shared" si="23"/>
        <v>0</v>
      </c>
      <c r="I71" s="58">
        <f t="shared" si="24"/>
        <v>44</v>
      </c>
      <c r="J71" s="74">
        <f t="shared" si="25"/>
        <v>65</v>
      </c>
      <c r="K71" s="74">
        <f t="shared" si="3"/>
        <v>0</v>
      </c>
      <c r="L71" s="52">
        <f t="shared" si="26"/>
        <v>0</v>
      </c>
      <c r="M71" s="74">
        <f t="shared" si="4"/>
        <v>0</v>
      </c>
      <c r="N71" s="74">
        <f t="shared" si="27"/>
        <v>0</v>
      </c>
      <c r="O71" s="180">
        <f t="shared" si="28"/>
        <v>0</v>
      </c>
      <c r="Q71" s="58">
        <f t="shared" si="5"/>
        <v>44</v>
      </c>
      <c r="R71" s="52">
        <f t="shared" si="6"/>
        <v>66</v>
      </c>
      <c r="S71" s="52">
        <f t="shared" si="7"/>
        <v>0</v>
      </c>
      <c r="T71" s="54">
        <f t="shared" si="48"/>
        <v>0.1</v>
      </c>
      <c r="U71" s="52">
        <f t="shared" si="8"/>
        <v>0</v>
      </c>
      <c r="V71" s="52">
        <f t="shared" si="29"/>
        <v>16033.61725358749</v>
      </c>
      <c r="W71" s="52">
        <f t="shared" si="30"/>
        <v>0</v>
      </c>
      <c r="X71" s="87">
        <f t="shared" si="31"/>
        <v>641.34469014349963</v>
      </c>
      <c r="Y71" s="53">
        <f t="shared" si="32"/>
        <v>16674.961943730988</v>
      </c>
      <c r="AA71" s="58">
        <f t="shared" si="9"/>
        <v>44</v>
      </c>
      <c r="AB71" s="52">
        <f t="shared" si="10"/>
        <v>66</v>
      </c>
      <c r="AC71" s="52">
        <f t="shared" si="11"/>
        <v>0</v>
      </c>
      <c r="AD71" s="54">
        <f t="shared" si="49"/>
        <v>0.15</v>
      </c>
      <c r="AE71" s="52">
        <f t="shared" si="12"/>
        <v>0</v>
      </c>
      <c r="AF71" s="52">
        <f t="shared" si="33"/>
        <v>0</v>
      </c>
      <c r="AG71" s="52">
        <f t="shared" si="34"/>
        <v>0</v>
      </c>
      <c r="AH71" s="52">
        <f t="shared" si="13"/>
        <v>0</v>
      </c>
      <c r="AI71" s="53">
        <f t="shared" si="35"/>
        <v>0</v>
      </c>
      <c r="AK71" s="58">
        <f t="shared" si="36"/>
        <v>44</v>
      </c>
      <c r="AL71" s="52">
        <f t="shared" si="36"/>
        <v>66</v>
      </c>
      <c r="AM71" s="52">
        <v>0</v>
      </c>
      <c r="AN71" s="54">
        <f t="shared" si="15"/>
        <v>0</v>
      </c>
      <c r="AO71" s="54">
        <f t="shared" si="16"/>
        <v>0</v>
      </c>
      <c r="AP71" s="207">
        <f t="shared" si="37"/>
        <v>0</v>
      </c>
      <c r="AQ71" s="52">
        <f t="shared" si="38"/>
        <v>84176.490581334336</v>
      </c>
      <c r="AR71" s="52">
        <f t="shared" si="39"/>
        <v>0</v>
      </c>
      <c r="AS71" s="48">
        <f t="shared" si="40"/>
        <v>3367.0596232533735</v>
      </c>
      <c r="AT71" s="53">
        <f t="shared" si="41"/>
        <v>87543.550204587707</v>
      </c>
      <c r="AV71" s="58">
        <f t="shared" si="51"/>
        <v>44</v>
      </c>
      <c r="AW71" s="52">
        <f t="shared" si="51"/>
        <v>66</v>
      </c>
      <c r="AX71" s="183">
        <v>0</v>
      </c>
      <c r="AY71" s="54">
        <f t="shared" si="18"/>
        <v>0</v>
      </c>
      <c r="AZ71" s="54">
        <f t="shared" si="19"/>
        <v>0</v>
      </c>
      <c r="BA71" s="207">
        <f t="shared" si="42"/>
        <v>0</v>
      </c>
      <c r="BB71" s="52">
        <f t="shared" si="43"/>
        <v>84176.490581334336</v>
      </c>
      <c r="BC71" s="48">
        <f t="shared" si="44"/>
        <v>0</v>
      </c>
      <c r="BD71" s="48">
        <f t="shared" si="45"/>
        <v>3367.0596232533735</v>
      </c>
      <c r="BE71" s="53">
        <f t="shared" si="46"/>
        <v>87543.550204587707</v>
      </c>
    </row>
    <row r="72" spans="2:59" ht="15.75" thickTop="1" thickBot="1">
      <c r="B72" s="58">
        <f t="shared" si="52"/>
        <v>45</v>
      </c>
      <c r="C72" s="52">
        <f t="shared" si="52"/>
        <v>66</v>
      </c>
      <c r="D72" s="185">
        <f t="shared" si="47"/>
        <v>1</v>
      </c>
      <c r="E72" s="48">
        <f t="shared" si="21"/>
        <v>0</v>
      </c>
      <c r="F72" s="205">
        <f t="shared" si="22"/>
        <v>0</v>
      </c>
      <c r="G72" s="192">
        <f t="shared" si="23"/>
        <v>0</v>
      </c>
      <c r="I72" s="58">
        <f t="shared" si="24"/>
        <v>45</v>
      </c>
      <c r="J72" s="74">
        <f t="shared" si="25"/>
        <v>66</v>
      </c>
      <c r="K72" s="74">
        <f t="shared" si="3"/>
        <v>0</v>
      </c>
      <c r="L72" s="52">
        <f t="shared" si="26"/>
        <v>0</v>
      </c>
      <c r="M72" s="74">
        <f t="shared" si="4"/>
        <v>0</v>
      </c>
      <c r="N72" s="74">
        <f t="shared" si="27"/>
        <v>0</v>
      </c>
      <c r="O72" s="180">
        <f t="shared" si="28"/>
        <v>0</v>
      </c>
      <c r="Q72" s="58">
        <f t="shared" si="5"/>
        <v>45</v>
      </c>
      <c r="R72" s="52">
        <f t="shared" si="6"/>
        <v>67</v>
      </c>
      <c r="S72" s="52">
        <f t="shared" si="7"/>
        <v>0</v>
      </c>
      <c r="T72" s="54">
        <f t="shared" si="48"/>
        <v>0.1</v>
      </c>
      <c r="U72" s="52">
        <f t="shared" si="8"/>
        <v>0</v>
      </c>
      <c r="V72" s="52">
        <f t="shared" si="29"/>
        <v>16674.961943730988</v>
      </c>
      <c r="W72" s="52">
        <f t="shared" si="30"/>
        <v>0</v>
      </c>
      <c r="X72" s="87">
        <f t="shared" si="31"/>
        <v>666.99847774923956</v>
      </c>
      <c r="Y72" s="53">
        <f t="shared" si="32"/>
        <v>17341.960421480228</v>
      </c>
      <c r="AA72" s="58">
        <f t="shared" si="9"/>
        <v>45</v>
      </c>
      <c r="AB72" s="52">
        <f t="shared" si="10"/>
        <v>67</v>
      </c>
      <c r="AC72" s="52">
        <f t="shared" si="11"/>
        <v>0</v>
      </c>
      <c r="AD72" s="54">
        <f t="shared" si="49"/>
        <v>0.15</v>
      </c>
      <c r="AE72" s="52">
        <f t="shared" si="12"/>
        <v>0</v>
      </c>
      <c r="AF72" s="52">
        <f t="shared" si="33"/>
        <v>0</v>
      </c>
      <c r="AG72" s="52">
        <f t="shared" si="34"/>
        <v>0</v>
      </c>
      <c r="AH72" s="52">
        <f t="shared" si="13"/>
        <v>0</v>
      </c>
      <c r="AI72" s="53">
        <f t="shared" si="35"/>
        <v>0</v>
      </c>
      <c r="AK72" s="58">
        <f t="shared" si="36"/>
        <v>45</v>
      </c>
      <c r="AL72" s="52">
        <f t="shared" si="36"/>
        <v>67</v>
      </c>
      <c r="AM72" s="52">
        <v>0</v>
      </c>
      <c r="AN72" s="54">
        <f t="shared" si="15"/>
        <v>0</v>
      </c>
      <c r="AO72" s="54">
        <f t="shared" si="16"/>
        <v>0</v>
      </c>
      <c r="AP72" s="207">
        <f t="shared" si="37"/>
        <v>0</v>
      </c>
      <c r="AQ72" s="52">
        <f t="shared" si="38"/>
        <v>87543.550204587707</v>
      </c>
      <c r="AR72" s="52">
        <f t="shared" si="39"/>
        <v>0</v>
      </c>
      <c r="AS72" s="48">
        <f t="shared" si="40"/>
        <v>3501.7420081835085</v>
      </c>
      <c r="AT72" s="53">
        <f t="shared" si="41"/>
        <v>91045.292212771223</v>
      </c>
      <c r="AV72" s="58">
        <f t="shared" si="51"/>
        <v>45</v>
      </c>
      <c r="AW72" s="52">
        <f t="shared" si="51"/>
        <v>67</v>
      </c>
      <c r="AX72" s="183">
        <v>0</v>
      </c>
      <c r="AY72" s="54">
        <f t="shared" si="18"/>
        <v>0</v>
      </c>
      <c r="AZ72" s="54">
        <f t="shared" si="19"/>
        <v>0</v>
      </c>
      <c r="BA72" s="207">
        <f t="shared" si="42"/>
        <v>0</v>
      </c>
      <c r="BB72" s="52">
        <f t="shared" si="43"/>
        <v>87543.550204587707</v>
      </c>
      <c r="BC72" s="48">
        <f t="shared" si="44"/>
        <v>0</v>
      </c>
      <c r="BD72" s="48">
        <f t="shared" si="45"/>
        <v>3501.7420081835085</v>
      </c>
      <c r="BE72" s="53">
        <f t="shared" si="46"/>
        <v>91045.292212771223</v>
      </c>
    </row>
    <row r="73" spans="2:59" ht="15.75" thickTop="1" thickBot="1">
      <c r="B73" s="58">
        <f t="shared" si="52"/>
        <v>46</v>
      </c>
      <c r="C73" s="52">
        <f t="shared" si="52"/>
        <v>67</v>
      </c>
      <c r="D73" s="185">
        <f t="shared" si="47"/>
        <v>1</v>
      </c>
      <c r="E73" s="48">
        <f t="shared" si="21"/>
        <v>0</v>
      </c>
      <c r="F73" s="205">
        <f t="shared" si="22"/>
        <v>0</v>
      </c>
      <c r="G73" s="192">
        <f t="shared" si="23"/>
        <v>0</v>
      </c>
      <c r="I73" s="58">
        <f t="shared" si="24"/>
        <v>46</v>
      </c>
      <c r="J73" s="74">
        <f t="shared" si="25"/>
        <v>67</v>
      </c>
      <c r="K73" s="74">
        <f t="shared" si="3"/>
        <v>0</v>
      </c>
      <c r="L73" s="52">
        <f t="shared" si="26"/>
        <v>0</v>
      </c>
      <c r="M73" s="74">
        <f t="shared" si="4"/>
        <v>0</v>
      </c>
      <c r="N73" s="74">
        <f t="shared" si="27"/>
        <v>0</v>
      </c>
      <c r="O73" s="180">
        <f t="shared" si="28"/>
        <v>0</v>
      </c>
      <c r="Q73" s="58">
        <f t="shared" si="5"/>
        <v>46</v>
      </c>
      <c r="R73" s="52">
        <f t="shared" si="6"/>
        <v>68</v>
      </c>
      <c r="S73" s="52">
        <f t="shared" si="7"/>
        <v>0</v>
      </c>
      <c r="T73" s="54">
        <f t="shared" si="48"/>
        <v>0.1</v>
      </c>
      <c r="U73" s="52">
        <f t="shared" si="8"/>
        <v>0</v>
      </c>
      <c r="V73" s="52">
        <f t="shared" si="29"/>
        <v>17341.960421480228</v>
      </c>
      <c r="W73" s="52">
        <f t="shared" si="30"/>
        <v>0</v>
      </c>
      <c r="X73" s="87">
        <f t="shared" si="31"/>
        <v>693.67841685920916</v>
      </c>
      <c r="Y73" s="53">
        <f t="shared" si="32"/>
        <v>18035.638838339437</v>
      </c>
      <c r="AA73" s="58">
        <f t="shared" si="9"/>
        <v>46</v>
      </c>
      <c r="AB73" s="52">
        <f t="shared" si="10"/>
        <v>68</v>
      </c>
      <c r="AC73" s="52">
        <f t="shared" si="11"/>
        <v>0</v>
      </c>
      <c r="AD73" s="54">
        <f t="shared" si="49"/>
        <v>0.15</v>
      </c>
      <c r="AE73" s="52">
        <f t="shared" si="12"/>
        <v>0</v>
      </c>
      <c r="AF73" s="52">
        <f t="shared" si="33"/>
        <v>0</v>
      </c>
      <c r="AG73" s="52">
        <f t="shared" si="34"/>
        <v>0</v>
      </c>
      <c r="AH73" s="52">
        <f t="shared" si="13"/>
        <v>0</v>
      </c>
      <c r="AI73" s="53">
        <f t="shared" si="35"/>
        <v>0</v>
      </c>
      <c r="AK73" s="58">
        <f t="shared" si="36"/>
        <v>46</v>
      </c>
      <c r="AL73" s="52">
        <f t="shared" si="36"/>
        <v>68</v>
      </c>
      <c r="AM73" s="52">
        <v>0</v>
      </c>
      <c r="AN73" s="54">
        <f t="shared" si="15"/>
        <v>0</v>
      </c>
      <c r="AO73" s="54">
        <f t="shared" si="16"/>
        <v>0</v>
      </c>
      <c r="AP73" s="207">
        <f t="shared" si="37"/>
        <v>0</v>
      </c>
      <c r="AQ73" s="52">
        <f t="shared" si="38"/>
        <v>91045.292212771223</v>
      </c>
      <c r="AR73" s="52">
        <f t="shared" si="39"/>
        <v>0</v>
      </c>
      <c r="AS73" s="48">
        <f t="shared" si="40"/>
        <v>3641.8116885108489</v>
      </c>
      <c r="AT73" s="53">
        <f t="shared" si="41"/>
        <v>94687.103901282069</v>
      </c>
      <c r="AV73" s="58">
        <f t="shared" si="51"/>
        <v>46</v>
      </c>
      <c r="AW73" s="52">
        <f t="shared" si="51"/>
        <v>68</v>
      </c>
      <c r="AX73" s="183">
        <v>0</v>
      </c>
      <c r="AY73" s="54">
        <f t="shared" si="18"/>
        <v>0</v>
      </c>
      <c r="AZ73" s="54">
        <f t="shared" si="19"/>
        <v>0</v>
      </c>
      <c r="BA73" s="207">
        <f t="shared" si="42"/>
        <v>0</v>
      </c>
      <c r="BB73" s="52">
        <f t="shared" si="43"/>
        <v>91045.292212771223</v>
      </c>
      <c r="BC73" s="48">
        <f t="shared" si="44"/>
        <v>0</v>
      </c>
      <c r="BD73" s="48">
        <f t="shared" si="45"/>
        <v>3641.8116885108489</v>
      </c>
      <c r="BE73" s="53">
        <f t="shared" si="46"/>
        <v>94687.103901282069</v>
      </c>
    </row>
    <row r="74" spans="2:59" ht="15.75" thickTop="1" thickBot="1">
      <c r="B74" s="58">
        <f t="shared" si="52"/>
        <v>47</v>
      </c>
      <c r="C74" s="52">
        <f t="shared" si="52"/>
        <v>68</v>
      </c>
      <c r="D74" s="185">
        <f t="shared" si="47"/>
        <v>1</v>
      </c>
      <c r="E74" s="48">
        <f t="shared" si="21"/>
        <v>0</v>
      </c>
      <c r="F74" s="205">
        <f t="shared" si="22"/>
        <v>0</v>
      </c>
      <c r="G74" s="192">
        <f t="shared" si="23"/>
        <v>0</v>
      </c>
      <c r="I74" s="58">
        <f t="shared" si="24"/>
        <v>47</v>
      </c>
      <c r="J74" s="74">
        <f t="shared" si="25"/>
        <v>68</v>
      </c>
      <c r="K74" s="74">
        <f t="shared" si="3"/>
        <v>0</v>
      </c>
      <c r="L74" s="52">
        <f t="shared" si="26"/>
        <v>0</v>
      </c>
      <c r="M74" s="74">
        <f t="shared" si="4"/>
        <v>0</v>
      </c>
      <c r="N74" s="74">
        <f t="shared" si="27"/>
        <v>0</v>
      </c>
      <c r="O74" s="180">
        <f t="shared" si="28"/>
        <v>0</v>
      </c>
      <c r="Q74" s="58">
        <f t="shared" si="5"/>
        <v>47</v>
      </c>
      <c r="R74" s="52">
        <f t="shared" si="6"/>
        <v>69</v>
      </c>
      <c r="S74" s="52">
        <f t="shared" si="7"/>
        <v>0</v>
      </c>
      <c r="T74" s="54">
        <f t="shared" si="48"/>
        <v>0.1</v>
      </c>
      <c r="U74" s="52">
        <f t="shared" si="8"/>
        <v>0</v>
      </c>
      <c r="V74" s="52">
        <f t="shared" si="29"/>
        <v>18035.638838339437</v>
      </c>
      <c r="W74" s="52">
        <f t="shared" si="30"/>
        <v>0</v>
      </c>
      <c r="X74" s="87">
        <f t="shared" si="31"/>
        <v>721.4255535335775</v>
      </c>
      <c r="Y74" s="53">
        <f t="shared" si="32"/>
        <v>18757.064391873013</v>
      </c>
      <c r="AA74" s="58">
        <f t="shared" si="9"/>
        <v>47</v>
      </c>
      <c r="AB74" s="52">
        <f t="shared" si="10"/>
        <v>69</v>
      </c>
      <c r="AC74" s="52">
        <f t="shared" si="11"/>
        <v>0</v>
      </c>
      <c r="AD74" s="54">
        <f t="shared" si="49"/>
        <v>0.15</v>
      </c>
      <c r="AE74" s="52">
        <f t="shared" si="12"/>
        <v>0</v>
      </c>
      <c r="AF74" s="52">
        <f t="shared" si="33"/>
        <v>0</v>
      </c>
      <c r="AG74" s="52">
        <f t="shared" si="34"/>
        <v>0</v>
      </c>
      <c r="AH74" s="52">
        <f t="shared" si="13"/>
        <v>0</v>
      </c>
      <c r="AI74" s="53">
        <f t="shared" si="35"/>
        <v>0</v>
      </c>
      <c r="AK74" s="58">
        <f t="shared" si="36"/>
        <v>47</v>
      </c>
      <c r="AL74" s="52">
        <f t="shared" si="36"/>
        <v>69</v>
      </c>
      <c r="AM74" s="52">
        <v>0</v>
      </c>
      <c r="AN74" s="54">
        <f t="shared" si="15"/>
        <v>0</v>
      </c>
      <c r="AO74" s="54">
        <f t="shared" si="16"/>
        <v>0</v>
      </c>
      <c r="AP74" s="207">
        <f t="shared" si="37"/>
        <v>0</v>
      </c>
      <c r="AQ74" s="52">
        <f t="shared" si="38"/>
        <v>94687.103901282069</v>
      </c>
      <c r="AR74" s="52">
        <f t="shared" si="39"/>
        <v>0</v>
      </c>
      <c r="AS74" s="48">
        <f t="shared" si="40"/>
        <v>3787.4841560512828</v>
      </c>
      <c r="AT74" s="53">
        <f t="shared" si="41"/>
        <v>98474.588057333356</v>
      </c>
      <c r="AV74" s="58">
        <f t="shared" si="51"/>
        <v>47</v>
      </c>
      <c r="AW74" s="52">
        <f t="shared" si="51"/>
        <v>69</v>
      </c>
      <c r="AX74" s="183">
        <v>0</v>
      </c>
      <c r="AY74" s="54">
        <f t="shared" si="18"/>
        <v>0</v>
      </c>
      <c r="AZ74" s="54">
        <f t="shared" si="19"/>
        <v>0</v>
      </c>
      <c r="BA74" s="207">
        <f t="shared" si="42"/>
        <v>0</v>
      </c>
      <c r="BB74" s="52">
        <f t="shared" si="43"/>
        <v>94687.103901282069</v>
      </c>
      <c r="BC74" s="48">
        <f t="shared" si="44"/>
        <v>0</v>
      </c>
      <c r="BD74" s="48">
        <f t="shared" si="45"/>
        <v>3787.4841560512828</v>
      </c>
      <c r="BE74" s="53">
        <f t="shared" si="46"/>
        <v>98474.588057333356</v>
      </c>
    </row>
    <row r="75" spans="2:59" ht="15.75" thickTop="1" thickBot="1">
      <c r="B75" s="58">
        <f t="shared" si="52"/>
        <v>48</v>
      </c>
      <c r="C75" s="52">
        <f t="shared" si="52"/>
        <v>69</v>
      </c>
      <c r="D75" s="185">
        <f t="shared" si="47"/>
        <v>1</v>
      </c>
      <c r="E75" s="48">
        <f t="shared" si="21"/>
        <v>0</v>
      </c>
      <c r="F75" s="205">
        <f t="shared" si="22"/>
        <v>0</v>
      </c>
      <c r="G75" s="192">
        <f t="shared" si="23"/>
        <v>0</v>
      </c>
      <c r="I75" s="58">
        <f t="shared" si="24"/>
        <v>48</v>
      </c>
      <c r="J75" s="74">
        <f t="shared" si="25"/>
        <v>69</v>
      </c>
      <c r="K75" s="74">
        <f t="shared" si="3"/>
        <v>0</v>
      </c>
      <c r="L75" s="52">
        <f t="shared" si="26"/>
        <v>0</v>
      </c>
      <c r="M75" s="74">
        <f t="shared" si="4"/>
        <v>0</v>
      </c>
      <c r="N75" s="74">
        <f t="shared" si="27"/>
        <v>0</v>
      </c>
      <c r="O75" s="180">
        <f t="shared" si="28"/>
        <v>0</v>
      </c>
      <c r="Q75" s="58">
        <f t="shared" si="5"/>
        <v>48</v>
      </c>
      <c r="R75" s="52">
        <f t="shared" si="6"/>
        <v>70</v>
      </c>
      <c r="S75" s="52">
        <f t="shared" si="7"/>
        <v>0</v>
      </c>
      <c r="T75" s="54">
        <f t="shared" si="48"/>
        <v>0.1</v>
      </c>
      <c r="U75" s="52">
        <f t="shared" si="8"/>
        <v>0</v>
      </c>
      <c r="V75" s="52">
        <f t="shared" si="29"/>
        <v>18757.064391873013</v>
      </c>
      <c r="W75" s="52">
        <f t="shared" si="30"/>
        <v>0</v>
      </c>
      <c r="X75" s="87">
        <f t="shared" si="31"/>
        <v>750.28257567492051</v>
      </c>
      <c r="Y75" s="53">
        <f t="shared" si="32"/>
        <v>19507.346967547932</v>
      </c>
      <c r="AA75" s="58">
        <f t="shared" si="9"/>
        <v>48</v>
      </c>
      <c r="AB75" s="52">
        <f t="shared" si="10"/>
        <v>70</v>
      </c>
      <c r="AC75" s="52">
        <f t="shared" si="11"/>
        <v>0</v>
      </c>
      <c r="AD75" s="54">
        <f t="shared" si="49"/>
        <v>0.15</v>
      </c>
      <c r="AE75" s="52">
        <f t="shared" si="12"/>
        <v>0</v>
      </c>
      <c r="AF75" s="52">
        <f t="shared" si="33"/>
        <v>0</v>
      </c>
      <c r="AG75" s="52">
        <f t="shared" si="34"/>
        <v>0</v>
      </c>
      <c r="AH75" s="52">
        <f t="shared" si="13"/>
        <v>0</v>
      </c>
      <c r="AI75" s="53">
        <f t="shared" si="35"/>
        <v>0</v>
      </c>
      <c r="AK75" s="58">
        <f t="shared" si="36"/>
        <v>48</v>
      </c>
      <c r="AL75" s="52">
        <f t="shared" si="36"/>
        <v>70</v>
      </c>
      <c r="AM75" s="52">
        <v>0</v>
      </c>
      <c r="AN75" s="54">
        <f t="shared" si="15"/>
        <v>0</v>
      </c>
      <c r="AO75" s="54">
        <f t="shared" si="16"/>
        <v>0</v>
      </c>
      <c r="AP75" s="207">
        <f t="shared" si="37"/>
        <v>0</v>
      </c>
      <c r="AQ75" s="52">
        <f t="shared" si="38"/>
        <v>98474.588057333356</v>
      </c>
      <c r="AR75" s="52">
        <f t="shared" si="39"/>
        <v>0</v>
      </c>
      <c r="AS75" s="48">
        <f t="shared" si="40"/>
        <v>3938.9835222933343</v>
      </c>
      <c r="AT75" s="53">
        <f t="shared" si="41"/>
        <v>102413.57157962669</v>
      </c>
      <c r="AV75" s="58">
        <f t="shared" si="51"/>
        <v>48</v>
      </c>
      <c r="AW75" s="52">
        <f t="shared" si="51"/>
        <v>70</v>
      </c>
      <c r="AX75" s="183">
        <v>0</v>
      </c>
      <c r="AY75" s="54">
        <f t="shared" si="18"/>
        <v>0</v>
      </c>
      <c r="AZ75" s="54">
        <f t="shared" si="19"/>
        <v>0</v>
      </c>
      <c r="BA75" s="207">
        <f t="shared" si="42"/>
        <v>0</v>
      </c>
      <c r="BB75" s="52">
        <f t="shared" si="43"/>
        <v>98474.588057333356</v>
      </c>
      <c r="BC75" s="48">
        <f t="shared" si="44"/>
        <v>0</v>
      </c>
      <c r="BD75" s="48">
        <f t="shared" si="45"/>
        <v>3938.9835222933343</v>
      </c>
      <c r="BE75" s="53">
        <f t="shared" si="46"/>
        <v>102413.57157962669</v>
      </c>
    </row>
    <row r="76" spans="2:59" ht="15.75" thickTop="1" thickBot="1">
      <c r="B76" s="59">
        <f t="shared" si="52"/>
        <v>49</v>
      </c>
      <c r="C76" s="55">
        <f t="shared" si="52"/>
        <v>70</v>
      </c>
      <c r="D76" s="185">
        <f t="shared" si="47"/>
        <v>1</v>
      </c>
      <c r="E76" s="48">
        <f t="shared" si="21"/>
        <v>0</v>
      </c>
      <c r="F76" s="205">
        <f t="shared" si="22"/>
        <v>0</v>
      </c>
      <c r="G76" s="192">
        <f t="shared" si="23"/>
        <v>0</v>
      </c>
      <c r="I76" s="59">
        <f t="shared" si="24"/>
        <v>49</v>
      </c>
      <c r="J76" s="76">
        <f t="shared" si="25"/>
        <v>70</v>
      </c>
      <c r="K76" s="76">
        <f t="shared" si="3"/>
        <v>0</v>
      </c>
      <c r="L76" s="55">
        <f t="shared" si="26"/>
        <v>0</v>
      </c>
      <c r="M76" s="76">
        <f t="shared" si="4"/>
        <v>0</v>
      </c>
      <c r="N76" s="76">
        <f t="shared" si="27"/>
        <v>0</v>
      </c>
      <c r="O76" s="181">
        <f t="shared" si="28"/>
        <v>0</v>
      </c>
      <c r="Q76" s="59">
        <f t="shared" si="5"/>
        <v>49</v>
      </c>
      <c r="R76" s="67">
        <f t="shared" si="6"/>
        <v>71</v>
      </c>
      <c r="S76" s="67">
        <f t="shared" si="7"/>
        <v>0</v>
      </c>
      <c r="T76" s="68">
        <f t="shared" si="48"/>
        <v>0.1</v>
      </c>
      <c r="U76" s="67">
        <f t="shared" si="8"/>
        <v>0</v>
      </c>
      <c r="V76" s="67">
        <f t="shared" si="29"/>
        <v>19507.346967547932</v>
      </c>
      <c r="W76" s="67">
        <f t="shared" si="30"/>
        <v>0</v>
      </c>
      <c r="X76" s="87">
        <f t="shared" si="31"/>
        <v>780.29387870191727</v>
      </c>
      <c r="Y76" s="70">
        <f t="shared" si="32"/>
        <v>20287.640846249848</v>
      </c>
      <c r="AA76" s="59">
        <f t="shared" si="9"/>
        <v>49</v>
      </c>
      <c r="AB76" s="67">
        <f t="shared" si="10"/>
        <v>71</v>
      </c>
      <c r="AC76" s="67">
        <f t="shared" si="11"/>
        <v>0</v>
      </c>
      <c r="AD76" s="68">
        <f t="shared" si="49"/>
        <v>0.15</v>
      </c>
      <c r="AE76" s="67">
        <f t="shared" si="12"/>
        <v>0</v>
      </c>
      <c r="AF76" s="67">
        <f t="shared" si="33"/>
        <v>0</v>
      </c>
      <c r="AG76" s="67">
        <f t="shared" si="34"/>
        <v>0</v>
      </c>
      <c r="AH76" s="67">
        <f t="shared" si="13"/>
        <v>0</v>
      </c>
      <c r="AI76" s="69">
        <f t="shared" si="35"/>
        <v>0</v>
      </c>
      <c r="AK76" s="59">
        <f t="shared" si="36"/>
        <v>49</v>
      </c>
      <c r="AL76" s="67">
        <f t="shared" si="36"/>
        <v>71</v>
      </c>
      <c r="AM76" s="52">
        <v>0</v>
      </c>
      <c r="AN76" s="68">
        <f t="shared" si="15"/>
        <v>0</v>
      </c>
      <c r="AO76" s="68">
        <f t="shared" si="16"/>
        <v>0</v>
      </c>
      <c r="AP76" s="207">
        <f t="shared" si="37"/>
        <v>0</v>
      </c>
      <c r="AQ76" s="55">
        <f t="shared" si="38"/>
        <v>102413.57157962669</v>
      </c>
      <c r="AR76" s="52">
        <f t="shared" si="39"/>
        <v>0</v>
      </c>
      <c r="AS76" s="48">
        <f t="shared" si="40"/>
        <v>4096.5428631850673</v>
      </c>
      <c r="AT76" s="69">
        <f t="shared" si="41"/>
        <v>106510.11444281175</v>
      </c>
      <c r="AV76" s="59">
        <f t="shared" si="51"/>
        <v>49</v>
      </c>
      <c r="AW76" s="67">
        <f t="shared" si="51"/>
        <v>71</v>
      </c>
      <c r="AX76" s="183">
        <v>0</v>
      </c>
      <c r="AY76" s="68">
        <f t="shared" si="18"/>
        <v>0</v>
      </c>
      <c r="AZ76" s="68">
        <f t="shared" si="19"/>
        <v>0</v>
      </c>
      <c r="BA76" s="207">
        <f t="shared" si="42"/>
        <v>0</v>
      </c>
      <c r="BB76" s="55">
        <f t="shared" si="43"/>
        <v>102413.57157962669</v>
      </c>
      <c r="BC76" s="48">
        <f t="shared" si="44"/>
        <v>0</v>
      </c>
      <c r="BD76" s="48">
        <f t="shared" si="45"/>
        <v>4096.5428631850673</v>
      </c>
      <c r="BE76" s="69">
        <f t="shared" si="46"/>
        <v>106510.11444281175</v>
      </c>
    </row>
    <row r="77" spans="2:59" ht="15" thickTop="1"/>
    <row r="93" spans="2:2">
      <c r="B93" s="20">
        <f>+B92/12</f>
        <v>0</v>
      </c>
    </row>
    <row r="95" spans="2:2">
      <c r="B95" s="20">
        <f ca="1">+B93-BM8</f>
        <v>-5250</v>
      </c>
    </row>
  </sheetData>
  <mergeCells count="17">
    <mergeCell ref="BH10:BK10"/>
    <mergeCell ref="Q3:Y3"/>
    <mergeCell ref="AA3:AT3"/>
    <mergeCell ref="I4:O4"/>
    <mergeCell ref="BH8:BK8"/>
    <mergeCell ref="BH9:BK9"/>
    <mergeCell ref="B24:G24"/>
    <mergeCell ref="I24:O24"/>
    <mergeCell ref="Q24:Y24"/>
    <mergeCell ref="AA24:AI24"/>
    <mergeCell ref="AK24:AT24"/>
    <mergeCell ref="Q25:Y25"/>
    <mergeCell ref="AA25:AI25"/>
    <mergeCell ref="AK25:AT25"/>
    <mergeCell ref="AV25:BE25"/>
    <mergeCell ref="BH11:BK11"/>
    <mergeCell ref="AV24:BE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869A-C427-459A-94B1-2D83AFA10BA0}">
  <dimension ref="A1:BN95"/>
  <sheetViews>
    <sheetView topLeftCell="A6" workbookViewId="0">
      <selection activeCell="F20" sqref="F20"/>
    </sheetView>
  </sheetViews>
  <sheetFormatPr baseColWidth="10" defaultColWidth="11.5" defaultRowHeight="14.25"/>
  <cols>
    <col min="2" max="2" width="14.625" style="20" bestFit="1" customWidth="1"/>
    <col min="3" max="3" width="7.5" style="20" customWidth="1"/>
    <col min="4" max="4" width="10.375" style="20" customWidth="1"/>
    <col min="5" max="5" width="10.5" style="22" bestFit="1" customWidth="1"/>
    <col min="6" max="6" width="11.375" style="22" customWidth="1"/>
    <col min="7" max="7" width="8.875" style="189" bestFit="1" customWidth="1"/>
    <col min="8" max="8" width="9.625" style="194" bestFit="1" customWidth="1"/>
    <col min="9" max="9" width="16.875" customWidth="1"/>
    <col min="10" max="10" width="15.375" bestFit="1" customWidth="1"/>
    <col min="11" max="11" width="21.375" customWidth="1"/>
    <col min="15" max="15" width="10.625" customWidth="1"/>
    <col min="16" max="16" width="3.375" style="194" customWidth="1"/>
    <col min="17" max="17" width="4.625" bestFit="1" customWidth="1"/>
    <col min="18" max="18" width="16.625" customWidth="1"/>
    <col min="19" max="19" width="15.125" customWidth="1"/>
    <col min="20" max="20" width="27.125" bestFit="1" customWidth="1"/>
    <col min="21" max="21" width="15.625" customWidth="1"/>
    <col min="22" max="22" width="16.375" customWidth="1"/>
    <col min="23" max="23" width="15.625" customWidth="1"/>
    <col min="24" max="24" width="12.5" customWidth="1"/>
    <col min="25" max="25" width="15.625" customWidth="1"/>
    <col min="26" max="26" width="3.375" style="194" customWidth="1"/>
    <col min="27" max="27" width="8.5" bestFit="1" customWidth="1"/>
    <col min="28" max="28" width="9" bestFit="1" customWidth="1"/>
    <col min="29" max="29" width="10.625" customWidth="1"/>
    <col min="30" max="30" width="8.625" bestFit="1" customWidth="1"/>
    <col min="31" max="31" width="11.375" bestFit="1" customWidth="1"/>
    <col min="32" max="32" width="13.625" bestFit="1" customWidth="1"/>
    <col min="33" max="33" width="16.375" bestFit="1" customWidth="1"/>
    <col min="34" max="34" width="11" bestFit="1" customWidth="1"/>
    <col min="35" max="35" width="8.625" bestFit="1" customWidth="1"/>
    <col min="36" max="36" width="3.5" customWidth="1"/>
    <col min="37" max="37" width="8.5" bestFit="1" customWidth="1"/>
    <col min="38" max="38" width="9" bestFit="1" customWidth="1"/>
    <col min="39" max="39" width="10.625" customWidth="1"/>
    <col min="40" max="40" width="10.125" bestFit="1" customWidth="1"/>
    <col min="41" max="41" width="10.625" bestFit="1" customWidth="1"/>
    <col min="42" max="42" width="21.5" bestFit="1" customWidth="1"/>
    <col min="43" max="43" width="11.875" bestFit="1" customWidth="1"/>
    <col min="44" max="44" width="9.125" bestFit="1" customWidth="1"/>
    <col min="45" max="45" width="10.125" bestFit="1" customWidth="1"/>
    <col min="46" max="46" width="11.375" customWidth="1"/>
    <col min="47" max="47" width="3.5" style="194" customWidth="1"/>
    <col min="49" max="49" width="10.5" bestFit="1" customWidth="1"/>
    <col min="54" max="54" width="13" bestFit="1" customWidth="1"/>
    <col min="58" max="58" width="6.375" customWidth="1"/>
    <col min="59" max="59" width="8.375" style="1" customWidth="1"/>
    <col min="65" max="65" width="12.5" bestFit="1" customWidth="1"/>
  </cols>
  <sheetData>
    <row r="1" spans="1:66" ht="23.25">
      <c r="B1" s="19" t="s">
        <v>29</v>
      </c>
      <c r="D1"/>
      <c r="E1" s="21"/>
      <c r="F1" s="21"/>
      <c r="G1" s="21"/>
      <c r="BH1" s="172" t="s">
        <v>99</v>
      </c>
      <c r="BI1" s="174"/>
      <c r="BJ1" s="174"/>
      <c r="BK1" s="173"/>
      <c r="BL1" s="173"/>
      <c r="BM1" s="173"/>
      <c r="BN1" s="173"/>
    </row>
    <row r="2" spans="1:66" ht="15">
      <c r="B2" t="s">
        <v>77</v>
      </c>
      <c r="D2"/>
      <c r="E2" s="21"/>
      <c r="F2" s="26">
        <v>1</v>
      </c>
      <c r="G2" s="162"/>
      <c r="BH2" t="s">
        <v>43</v>
      </c>
      <c r="BM2" s="163">
        <f>+SUM(K28:K76)</f>
        <v>360</v>
      </c>
    </row>
    <row r="3" spans="1:66" ht="30">
      <c r="B3" t="s">
        <v>30</v>
      </c>
      <c r="D3"/>
      <c r="E3" s="24"/>
      <c r="F3" s="201" t="str">
        <f>+salidaformulas!B2</f>
        <v>M</v>
      </c>
      <c r="Q3" s="267" t="s">
        <v>186</v>
      </c>
      <c r="R3" s="267"/>
      <c r="S3" s="267"/>
      <c r="T3" s="267"/>
      <c r="U3" s="267"/>
      <c r="V3" s="267"/>
      <c r="W3" s="267"/>
      <c r="X3" s="267"/>
      <c r="Y3" s="267"/>
      <c r="AA3" s="268" t="s">
        <v>187</v>
      </c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BH3" t="s">
        <v>82</v>
      </c>
      <c r="BM3" s="40">
        <f>+IF(BM2&gt;240,BM2-F13,0)</f>
        <v>120</v>
      </c>
    </row>
    <row r="4" spans="1:66" ht="30">
      <c r="B4" t="s">
        <v>31</v>
      </c>
      <c r="D4"/>
      <c r="E4" s="24"/>
      <c r="F4" s="200">
        <f>+salidaformulas!B3</f>
        <v>22</v>
      </c>
      <c r="I4" s="267" t="s">
        <v>185</v>
      </c>
      <c r="J4" s="267"/>
      <c r="K4" s="267"/>
      <c r="L4" s="267"/>
      <c r="M4" s="267"/>
      <c r="N4" s="267"/>
      <c r="O4" s="267"/>
      <c r="BH4" t="s">
        <v>119</v>
      </c>
      <c r="BK4" s="22"/>
      <c r="BL4" s="22"/>
      <c r="BM4" s="155">
        <f>IF(F7&lt;=7,BN4,BN4*AF13)</f>
        <v>0.72499999999999998</v>
      </c>
      <c r="BN4" s="155">
        <f>IF(AND(BM2&gt;=180,BM2&lt;240),($F$14+INT(BM3/12)*$F$15)*BM2/240,IF(BM2&lt;180,0,($F$14+INT(BM3/12)*$F$15)))</f>
        <v>0.72499999999999998</v>
      </c>
    </row>
    <row r="5" spans="1:66" ht="29.25">
      <c r="B5" t="s">
        <v>98</v>
      </c>
      <c r="D5"/>
      <c r="E5" s="24"/>
      <c r="F5" s="26">
        <f>+F4</f>
        <v>22</v>
      </c>
      <c r="J5" s="39" t="s">
        <v>136</v>
      </c>
      <c r="K5" t="s">
        <v>150</v>
      </c>
      <c r="S5" s="39" t="s">
        <v>136</v>
      </c>
      <c r="T5" t="s">
        <v>150</v>
      </c>
      <c r="BH5" s="20" t="s">
        <v>84</v>
      </c>
      <c r="BI5" s="22"/>
      <c r="BJ5" s="22"/>
      <c r="BM5" s="150">
        <f ca="1">+BM6*12</f>
        <v>4567.5</v>
      </c>
    </row>
    <row r="6" spans="1:66" ht="15">
      <c r="B6" s="162" t="s">
        <v>54</v>
      </c>
      <c r="D6"/>
      <c r="E6" s="24"/>
      <c r="F6" s="139">
        <f>+salidaformulas!B4</f>
        <v>62</v>
      </c>
      <c r="I6" t="s">
        <v>137</v>
      </c>
      <c r="J6" t="s">
        <v>149</v>
      </c>
      <c r="K6" t="s">
        <v>151</v>
      </c>
      <c r="R6" t="s">
        <v>137</v>
      </c>
      <c r="S6" t="s">
        <v>149</v>
      </c>
      <c r="T6" t="s">
        <v>151</v>
      </c>
      <c r="BH6" s="20" t="s">
        <v>85</v>
      </c>
      <c r="BI6" s="22"/>
      <c r="BJ6" s="22"/>
      <c r="BK6" s="34"/>
      <c r="BL6" s="34"/>
      <c r="BM6" s="152">
        <f ca="1">IF(BM2&gt;=240,MAX(MAX(BL8:BL10),265),MAX(BL8:BL10))</f>
        <v>380.625</v>
      </c>
      <c r="BN6" s="140"/>
    </row>
    <row r="7" spans="1:66" ht="15">
      <c r="B7" s="162" t="s">
        <v>184</v>
      </c>
      <c r="D7"/>
      <c r="E7" s="24"/>
      <c r="F7" s="139">
        <f>+F6-F5</f>
        <v>40</v>
      </c>
      <c r="I7">
        <v>1</v>
      </c>
      <c r="J7" s="40">
        <f>LARGE($G$28:$G$65,I7)</f>
        <v>6300</v>
      </c>
      <c r="K7" s="40">
        <f>LARGE($L$28:$L$65,I7)</f>
        <v>4500</v>
      </c>
      <c r="R7">
        <v>1</v>
      </c>
      <c r="S7" s="40">
        <f t="shared" ref="S7:T17" si="0">+J7</f>
        <v>6300</v>
      </c>
      <c r="T7" s="40">
        <f t="shared" si="0"/>
        <v>4500</v>
      </c>
      <c r="BL7" s="143" t="s">
        <v>127</v>
      </c>
      <c r="BM7" s="143" t="s">
        <v>133</v>
      </c>
      <c r="BN7" s="143" t="s">
        <v>132</v>
      </c>
    </row>
    <row r="8" spans="1:66" ht="15">
      <c r="B8" t="s">
        <v>61</v>
      </c>
      <c r="F8" s="28">
        <v>0.15</v>
      </c>
      <c r="I8">
        <v>2</v>
      </c>
      <c r="J8" s="40">
        <f t="shared" ref="J8:J16" si="1">LARGE($G$28:$G$65,I8)</f>
        <v>6300</v>
      </c>
      <c r="K8" s="40">
        <f t="shared" ref="K8:K16" si="2">LARGE($L$28:$L$65,I8)</f>
        <v>4500</v>
      </c>
      <c r="R8">
        <v>2</v>
      </c>
      <c r="S8" s="40">
        <f t="shared" si="0"/>
        <v>6300</v>
      </c>
      <c r="T8" s="40">
        <f t="shared" si="0"/>
        <v>4500</v>
      </c>
      <c r="BH8" s="263" t="s">
        <v>128</v>
      </c>
      <c r="BI8" s="263"/>
      <c r="BJ8" s="263"/>
      <c r="BK8" s="263"/>
      <c r="BL8" s="146">
        <f ca="1">+IF($BM$4*BM8/12&gt;1500,1500,$BM$4*BM8/12)</f>
        <v>380.625</v>
      </c>
      <c r="BM8" s="150" cm="1">
        <f t="array" aca="1" ref="BM8" ca="1">+AVERAGE(LARGE($G$28:$G$76,ROW(INDIRECT("1:10"))))</f>
        <v>6300</v>
      </c>
    </row>
    <row r="9" spans="1:66" ht="15">
      <c r="B9" t="s">
        <v>60</v>
      </c>
      <c r="F9" s="28">
        <v>0.13500000000000001</v>
      </c>
      <c r="I9">
        <v>3</v>
      </c>
      <c r="J9" s="40">
        <f t="shared" si="1"/>
        <v>6300</v>
      </c>
      <c r="K9" s="40">
        <f t="shared" si="2"/>
        <v>4500</v>
      </c>
      <c r="R9">
        <v>3</v>
      </c>
      <c r="S9" s="40">
        <f t="shared" si="0"/>
        <v>6300</v>
      </c>
      <c r="T9" s="40">
        <f t="shared" si="0"/>
        <v>4500</v>
      </c>
      <c r="BH9" s="266" t="s">
        <v>129</v>
      </c>
      <c r="BI9" s="266"/>
      <c r="BJ9" s="266"/>
      <c r="BK9" s="266"/>
      <c r="BL9" s="131">
        <f ca="1">+IF($BM$4*BM9/12&gt;2000,2000,$BM$4*BM9/12)</f>
        <v>0</v>
      </c>
      <c r="BM9" s="150" cm="1">
        <f t="array" aca="1" ref="BM9" ca="1">IF(AND(BM2&gt;300,AVERAGE(LARGE($G$28:$G$76,ROW(INDIRECT("1:15"))))&gt;=24000),AVERAGE(LARGE($G$28:$G$76,ROW(INDIRECT("1:15")))),0)</f>
        <v>0</v>
      </c>
      <c r="BN9" s="31"/>
    </row>
    <row r="10" spans="1:66" ht="15">
      <c r="B10" t="s">
        <v>62</v>
      </c>
      <c r="D10"/>
      <c r="E10" s="24"/>
      <c r="F10" s="28">
        <v>0.18</v>
      </c>
      <c r="I10">
        <v>4</v>
      </c>
      <c r="J10" s="40">
        <f t="shared" si="1"/>
        <v>6300</v>
      </c>
      <c r="K10" s="40">
        <f t="shared" si="2"/>
        <v>4500</v>
      </c>
      <c r="R10">
        <v>4</v>
      </c>
      <c r="S10" s="40">
        <f t="shared" si="0"/>
        <v>6300</v>
      </c>
      <c r="T10" s="40">
        <f t="shared" si="0"/>
        <v>4500</v>
      </c>
      <c r="AA10" s="29" t="s">
        <v>114</v>
      </c>
      <c r="AB10" s="22"/>
      <c r="AC10" s="22"/>
      <c r="AK10" s="194"/>
      <c r="AL10" s="194"/>
      <c r="AM10" s="194"/>
      <c r="AN10" s="194"/>
      <c r="AO10" s="194"/>
      <c r="AP10" s="194"/>
      <c r="BH10" s="266" t="s">
        <v>130</v>
      </c>
      <c r="BI10" s="266"/>
      <c r="BJ10" s="266"/>
      <c r="BK10" s="266"/>
      <c r="BL10" s="131">
        <f ca="1">+IF($BM$4*BM10/12&gt;2500,2500,$BM$4*BM10/12)</f>
        <v>0</v>
      </c>
      <c r="BM10" s="150" cm="1">
        <f t="array" aca="1" ref="BM10" ca="1">IF(AND(BM2&gt;360,AVERAGE(LARGE($G$28:$G$76,ROW(INDIRECT("1:20"))))&gt;=30000),AVERAGE(LARGE($G$28:$G$76,ROW(INDIRECT("1:20")))),0)</f>
        <v>0</v>
      </c>
    </row>
    <row r="11" spans="1:66" ht="15.75" thickBot="1">
      <c r="B11" t="s">
        <v>55</v>
      </c>
      <c r="D11"/>
      <c r="E11" s="24"/>
      <c r="F11" s="28">
        <v>0.04</v>
      </c>
      <c r="I11">
        <v>5</v>
      </c>
      <c r="J11" s="40">
        <f t="shared" si="1"/>
        <v>6300</v>
      </c>
      <c r="K11" s="40">
        <f t="shared" si="2"/>
        <v>4500</v>
      </c>
      <c r="R11">
        <v>5</v>
      </c>
      <c r="S11" s="40">
        <f t="shared" si="0"/>
        <v>6300</v>
      </c>
      <c r="T11" s="40">
        <f t="shared" si="0"/>
        <v>4500</v>
      </c>
      <c r="AA11" s="30" t="s">
        <v>35</v>
      </c>
      <c r="AB11" s="22"/>
      <c r="AF11" s="60">
        <f>+F6</f>
        <v>62</v>
      </c>
      <c r="AK11" s="198" t="s">
        <v>118</v>
      </c>
      <c r="AL11" s="194"/>
      <c r="AM11" s="194"/>
      <c r="AN11" s="194"/>
      <c r="AO11" s="198" t="s">
        <v>120</v>
      </c>
      <c r="AP11" s="208" t="s">
        <v>140</v>
      </c>
      <c r="BH11" s="266" t="s">
        <v>131</v>
      </c>
      <c r="BI11" s="266"/>
      <c r="BJ11" s="266"/>
      <c r="BK11" s="266"/>
      <c r="BM11" s="154">
        <f ca="1">+BM5/VLOOKUP(MAX(BL8:BL10),BL8:BM10,2,0)</f>
        <v>0.72499999999999998</v>
      </c>
    </row>
    <row r="12" spans="1:66" ht="15.75" thickTop="1">
      <c r="B12" t="s">
        <v>56</v>
      </c>
      <c r="D12"/>
      <c r="E12" s="24"/>
      <c r="F12" s="28">
        <v>0.04</v>
      </c>
      <c r="I12">
        <v>6</v>
      </c>
      <c r="J12" s="40">
        <f t="shared" si="1"/>
        <v>6300</v>
      </c>
      <c r="K12" s="40">
        <f t="shared" si="2"/>
        <v>4500</v>
      </c>
      <c r="R12">
        <v>6</v>
      </c>
      <c r="S12" s="40">
        <f t="shared" si="0"/>
        <v>6300</v>
      </c>
      <c r="T12" s="40">
        <f t="shared" si="0"/>
        <v>4500</v>
      </c>
      <c r="AA12" s="65" t="s">
        <v>73</v>
      </c>
      <c r="AB12" s="22"/>
      <c r="AF12" s="32">
        <f>+VLOOKUP(AF11,$AB$28:$AI$76,8,FALSE)</f>
        <v>0</v>
      </c>
      <c r="AG12" s="143" t="s">
        <v>169</v>
      </c>
      <c r="AK12" s="209" t="s">
        <v>112</v>
      </c>
      <c r="AL12" s="210"/>
      <c r="AM12" s="210"/>
      <c r="AN12" s="210"/>
      <c r="AO12" s="211">
        <f>+L18</f>
        <v>380.625</v>
      </c>
      <c r="AP12" s="212">
        <f>+AO12/(J16/12)</f>
        <v>0.72499999999999998</v>
      </c>
    </row>
    <row r="13" spans="1:66" ht="15">
      <c r="A13" s="143" t="s">
        <v>153</v>
      </c>
      <c r="B13" t="s">
        <v>57</v>
      </c>
      <c r="D13"/>
      <c r="E13" s="24"/>
      <c r="F13" s="23">
        <v>240</v>
      </c>
      <c r="I13">
        <v>7</v>
      </c>
      <c r="J13" s="40">
        <f t="shared" si="1"/>
        <v>6300</v>
      </c>
      <c r="K13" s="40">
        <f t="shared" si="2"/>
        <v>4500</v>
      </c>
      <c r="R13">
        <v>7</v>
      </c>
      <c r="S13" s="40">
        <f t="shared" si="0"/>
        <v>6300</v>
      </c>
      <c r="T13" s="40">
        <f t="shared" si="0"/>
        <v>4500</v>
      </c>
      <c r="W13" t="s">
        <v>197</v>
      </c>
      <c r="X13" t="s">
        <v>198</v>
      </c>
      <c r="AA13" t="s">
        <v>72</v>
      </c>
      <c r="AF13" s="15">
        <f>+IF(AND($B$20=1,$F$2&lt;&gt;1),100%,IF($F$3="M",VLOOKUP(AF11,descuento!$A$6:$B$32,2,FALSE),VLOOKUP(AF11,descuento!$C$6:$D$32,2,FALSE)))</f>
        <v>1</v>
      </c>
      <c r="AG13" s="15"/>
      <c r="AK13" s="213" t="s">
        <v>113</v>
      </c>
      <c r="AL13" s="194"/>
      <c r="AM13" s="194"/>
      <c r="AN13" s="194"/>
      <c r="AO13" s="214">
        <f>+U22</f>
        <v>360.03773619559843</v>
      </c>
      <c r="AP13" s="215">
        <f>+AO13/(S17/12)</f>
        <v>0.68578616418209226</v>
      </c>
      <c r="AV13" s="65" t="s">
        <v>75</v>
      </c>
      <c r="BB13" s="167">
        <f>+VLOOKUP(AF11,$AW$28:$BE$76,9,FALSE)</f>
        <v>89799.112335003374</v>
      </c>
      <c r="BH13" s="172" t="s">
        <v>106</v>
      </c>
      <c r="BI13" s="173"/>
      <c r="BJ13" s="173"/>
      <c r="BK13" s="173"/>
      <c r="BL13" s="173"/>
      <c r="BM13" s="173"/>
      <c r="BN13" s="173"/>
    </row>
    <row r="14" spans="1:66" ht="15.75" thickBot="1">
      <c r="A14" s="143" t="s">
        <v>155</v>
      </c>
      <c r="B14" t="s">
        <v>58</v>
      </c>
      <c r="D14"/>
      <c r="E14" s="24"/>
      <c r="F14" s="33">
        <v>0.6</v>
      </c>
      <c r="I14">
        <v>8</v>
      </c>
      <c r="J14" s="40">
        <f t="shared" si="1"/>
        <v>6300</v>
      </c>
      <c r="K14" s="40">
        <f t="shared" si="2"/>
        <v>4500</v>
      </c>
      <c r="R14">
        <v>8</v>
      </c>
      <c r="S14" s="40">
        <f t="shared" si="0"/>
        <v>6300</v>
      </c>
      <c r="T14" s="40">
        <f t="shared" si="0"/>
        <v>4500</v>
      </c>
      <c r="W14" t="s">
        <v>199</v>
      </c>
      <c r="X14" t="s">
        <v>200</v>
      </c>
      <c r="AA14" s="65" t="s">
        <v>74</v>
      </c>
      <c r="AF14" s="32">
        <f>+VLOOKUP(AF11,$AL$28:$AT$76,9,FALSE)</f>
        <v>89799.112335003374</v>
      </c>
      <c r="AG14" s="143" t="s">
        <v>170</v>
      </c>
      <c r="AK14" s="216" t="s">
        <v>117</v>
      </c>
      <c r="AL14" s="217"/>
      <c r="AM14" s="218"/>
      <c r="AN14" s="218"/>
      <c r="AO14" s="227">
        <f>+AF17</f>
        <v>462.85436502689191</v>
      </c>
      <c r="AP14" s="219">
        <f>+AO14/(S16/12)</f>
        <v>0.88162736195598457</v>
      </c>
      <c r="AR14" s="15"/>
      <c r="AT14" s="30"/>
      <c r="AV14" s="65" t="s">
        <v>36</v>
      </c>
      <c r="AW14" s="22"/>
      <c r="AX14" s="34"/>
      <c r="BB14" s="176">
        <f>+AF16</f>
        <v>5.1543311842568507</v>
      </c>
    </row>
    <row r="15" spans="1:66" ht="15.75" thickTop="1">
      <c r="A15" s="143" t="s">
        <v>156</v>
      </c>
      <c r="B15" t="s">
        <v>59</v>
      </c>
      <c r="D15"/>
      <c r="E15" s="24"/>
      <c r="F15" s="28">
        <v>1.2500000000000001E-2</v>
      </c>
      <c r="I15">
        <v>9</v>
      </c>
      <c r="J15" s="40">
        <f t="shared" si="1"/>
        <v>6300</v>
      </c>
      <c r="K15" s="40">
        <f t="shared" si="2"/>
        <v>4500</v>
      </c>
      <c r="R15">
        <v>9</v>
      </c>
      <c r="S15" s="40">
        <f t="shared" si="0"/>
        <v>6300</v>
      </c>
      <c r="T15" s="40">
        <f t="shared" si="0"/>
        <v>4500</v>
      </c>
      <c r="W15" t="s">
        <v>201</v>
      </c>
      <c r="AA15" s="65" t="s">
        <v>75</v>
      </c>
      <c r="AF15" s="167">
        <f>+AF14+AF12*AF13</f>
        <v>89799.112335003374</v>
      </c>
      <c r="AG15" s="167" t="s">
        <v>171</v>
      </c>
      <c r="AH15" s="31"/>
      <c r="AK15" s="194" t="s">
        <v>193</v>
      </c>
      <c r="AL15" s="194"/>
      <c r="AM15" s="194"/>
      <c r="AN15" s="194"/>
      <c r="AO15" s="220">
        <f>+BB15</f>
        <v>462.85436502689191</v>
      </c>
      <c r="AP15" s="221">
        <f>+AO15/(S17/12)</f>
        <v>0.88162736195598457</v>
      </c>
      <c r="AQ15" s="148"/>
      <c r="AT15" s="64"/>
      <c r="AV15" s="65" t="s">
        <v>176</v>
      </c>
      <c r="BB15" s="86">
        <f>+BB13*0.001*BB14</f>
        <v>462.85436502689191</v>
      </c>
      <c r="BH15" t="s">
        <v>143</v>
      </c>
      <c r="BM15" s="13">
        <f t="array" aca="1" ref="BM15" ca="1">+AVERAGE(LARGE($L$28:$L$76,ROW(INDIRECT("1:10"))))</f>
        <v>4500</v>
      </c>
    </row>
    <row r="16" spans="1:66" ht="15">
      <c r="B16" t="s">
        <v>79</v>
      </c>
      <c r="D16"/>
      <c r="E16" s="24"/>
      <c r="F16" s="73">
        <v>2500</v>
      </c>
      <c r="I16">
        <v>10</v>
      </c>
      <c r="J16" s="40">
        <f t="shared" si="1"/>
        <v>6300</v>
      </c>
      <c r="K16" s="40">
        <f t="shared" si="2"/>
        <v>4500</v>
      </c>
      <c r="R16">
        <v>10</v>
      </c>
      <c r="S16" s="40">
        <f t="shared" si="0"/>
        <v>6300</v>
      </c>
      <c r="T16" s="40">
        <f t="shared" si="0"/>
        <v>4500</v>
      </c>
      <c r="AA16" s="65" t="s">
        <v>36</v>
      </c>
      <c r="AB16" s="22"/>
      <c r="AC16" s="34"/>
      <c r="AF16" s="176">
        <f>+VLOOKUP(AF11,'bases renta'!$K$20:$L$65,2,FALSE)</f>
        <v>5.1543311842568507</v>
      </c>
      <c r="AG16" s="143" t="s">
        <v>172</v>
      </c>
      <c r="AV16" s="65" t="s">
        <v>140</v>
      </c>
      <c r="BB16" s="166">
        <f>+BB15/(J17/12)</f>
        <v>0.88162736195598457</v>
      </c>
      <c r="BH16" t="s">
        <v>107</v>
      </c>
      <c r="BM16" s="144">
        <f ca="1">+BM15*BM4/12</f>
        <v>271.875</v>
      </c>
    </row>
    <row r="17" spans="2:65" ht="15">
      <c r="B17" t="s">
        <v>103</v>
      </c>
      <c r="D17"/>
      <c r="E17" s="24"/>
      <c r="F17" s="28">
        <v>3.5000000000000003E-2</v>
      </c>
      <c r="H17" s="195" t="s">
        <v>134</v>
      </c>
      <c r="I17" s="143" t="s">
        <v>148</v>
      </c>
      <c r="J17" s="163">
        <f>+AVERAGE(J7:J16)</f>
        <v>6300</v>
      </c>
      <c r="K17" s="163">
        <f>+AVERAGE(K7:K16)</f>
        <v>4500</v>
      </c>
      <c r="L17" s="143"/>
      <c r="P17" s="195"/>
      <c r="Q17" s="143" t="s">
        <v>134</v>
      </c>
      <c r="R17" s="143" t="s">
        <v>148</v>
      </c>
      <c r="S17" s="163">
        <f t="shared" si="0"/>
        <v>6300</v>
      </c>
      <c r="T17" s="163">
        <f t="shared" si="0"/>
        <v>4500</v>
      </c>
      <c r="U17" s="143" t="s">
        <v>162</v>
      </c>
      <c r="Z17" s="195"/>
      <c r="AA17" s="65" t="s">
        <v>176</v>
      </c>
      <c r="AF17" s="86">
        <f>+AF15*0.001*AF16</f>
        <v>462.85436502689191</v>
      </c>
      <c r="AG17" s="175" t="s">
        <v>173</v>
      </c>
      <c r="AH17" s="149"/>
      <c r="BH17" t="s">
        <v>108</v>
      </c>
      <c r="BM17" s="13">
        <f>+VLOOKUP(AF11,$R$28:$Y$76,8,FALSE)</f>
        <v>17104.592825714928</v>
      </c>
    </row>
    <row r="18" spans="2:65" ht="30" customHeight="1">
      <c r="B18" s="20" t="s">
        <v>182</v>
      </c>
      <c r="D18"/>
      <c r="E18" s="24"/>
      <c r="F18" s="28">
        <v>0</v>
      </c>
      <c r="H18" s="196"/>
      <c r="I18" t="s">
        <v>138</v>
      </c>
      <c r="J18" s="163">
        <f>+BM2</f>
        <v>360</v>
      </c>
      <c r="K18" s="164" t="s">
        <v>141</v>
      </c>
      <c r="L18" s="86">
        <f>+MIN(J17*J20/12,F16)</f>
        <v>380.625</v>
      </c>
      <c r="M18" s="143" t="s">
        <v>158</v>
      </c>
      <c r="N18" s="143"/>
      <c r="P18" s="196"/>
      <c r="R18" t="s">
        <v>138</v>
      </c>
      <c r="S18" s="163">
        <f>+J18</f>
        <v>360</v>
      </c>
      <c r="T18" s="164" t="s">
        <v>144</v>
      </c>
      <c r="U18" s="86">
        <f>+(K17*S20)/12</f>
        <v>271.875</v>
      </c>
      <c r="V18" s="143" t="s">
        <v>163</v>
      </c>
      <c r="W18" s="39" t="s">
        <v>140</v>
      </c>
      <c r="X18" s="166">
        <f>+U22/(J17/12)</f>
        <v>0.68578616418209226</v>
      </c>
      <c r="Y18" t="s">
        <v>167</v>
      </c>
      <c r="Z18" s="196"/>
      <c r="AA18" s="65" t="s">
        <v>140</v>
      </c>
      <c r="AF18" s="177">
        <f>+AF17/(J17/12)</f>
        <v>0.88162736195598457</v>
      </c>
      <c r="AG18" s="143" t="s">
        <v>174</v>
      </c>
      <c r="AH18" s="31"/>
      <c r="BH18" t="s">
        <v>109</v>
      </c>
      <c r="BM18" s="14">
        <f>+AF16</f>
        <v>5.1543311842568507</v>
      </c>
    </row>
    <row r="19" spans="2:65" ht="72">
      <c r="B19" s="20" t="s">
        <v>183</v>
      </c>
      <c r="F19" s="23">
        <f>+salidaformulas!A10</f>
        <v>700</v>
      </c>
      <c r="H19" s="196" t="s">
        <v>157</v>
      </c>
      <c r="I19" t="s">
        <v>139</v>
      </c>
      <c r="J19" s="163">
        <f>+BM3</f>
        <v>120</v>
      </c>
      <c r="K19" s="21" t="s">
        <v>152</v>
      </c>
      <c r="L19" s="150">
        <f>+F23</f>
        <v>525</v>
      </c>
      <c r="M19" s="143" t="s">
        <v>160</v>
      </c>
      <c r="N19" s="143"/>
      <c r="P19" s="196"/>
      <c r="R19" s="39" t="s">
        <v>139</v>
      </c>
      <c r="S19" s="163">
        <f>+J19</f>
        <v>120</v>
      </c>
      <c r="T19" s="143" t="s">
        <v>145</v>
      </c>
      <c r="U19" s="171">
        <f>+BM17</f>
        <v>17104.592825714928</v>
      </c>
      <c r="V19" s="143" t="s">
        <v>164</v>
      </c>
      <c r="W19" s="39" t="s">
        <v>152</v>
      </c>
      <c r="X19" s="140">
        <f>+L19</f>
        <v>525</v>
      </c>
      <c r="Y19" s="143" t="str">
        <f>+M19</f>
        <v>H</v>
      </c>
      <c r="Z19" s="196"/>
      <c r="AA19" s="65" t="s">
        <v>152</v>
      </c>
      <c r="AF19" s="150">
        <f>+X19</f>
        <v>525</v>
      </c>
      <c r="AG19" s="143" t="s">
        <v>160</v>
      </c>
      <c r="AI19" s="34"/>
      <c r="AJ19" s="34"/>
      <c r="BH19" t="s">
        <v>110</v>
      </c>
      <c r="BM19" s="144">
        <f>+(BM17/1000)*BM18</f>
        <v>88.162736195598455</v>
      </c>
    </row>
    <row r="20" spans="2:65" ht="30">
      <c r="B20" s="20" t="s">
        <v>194</v>
      </c>
      <c r="F20" s="236">
        <v>9</v>
      </c>
      <c r="H20" s="198" t="s">
        <v>159</v>
      </c>
      <c r="I20" s="39" t="s">
        <v>140</v>
      </c>
      <c r="J20" s="165">
        <f>+BM4</f>
        <v>0.72499999999999998</v>
      </c>
      <c r="K20" s="143" t="s">
        <v>142</v>
      </c>
      <c r="L20" s="166">
        <f>+L18/L19</f>
        <v>0.72499999999999998</v>
      </c>
      <c r="M20" s="143" t="s">
        <v>161</v>
      </c>
      <c r="N20" s="143"/>
      <c r="Q20" s="143" t="s">
        <v>154</v>
      </c>
      <c r="R20" s="39" t="s">
        <v>140</v>
      </c>
      <c r="S20" s="165">
        <f>+J20</f>
        <v>0.72499999999999998</v>
      </c>
      <c r="T20" s="169" t="s">
        <v>146</v>
      </c>
      <c r="U20" s="167">
        <f>+BM18</f>
        <v>5.1543311842568507</v>
      </c>
      <c r="V20" s="143" t="s">
        <v>0</v>
      </c>
      <c r="W20" s="39" t="s">
        <v>142</v>
      </c>
      <c r="X20" s="166">
        <f>+U22/L19</f>
        <v>0.68578616418209226</v>
      </c>
      <c r="Y20" s="143" t="s">
        <v>168</v>
      </c>
      <c r="AA20" s="65" t="s">
        <v>142</v>
      </c>
      <c r="AF20" s="166">
        <f>+AF17/L19</f>
        <v>0.88162736195598457</v>
      </c>
      <c r="AG20" s="143" t="s">
        <v>175</v>
      </c>
      <c r="AH20" s="156"/>
      <c r="AS20" s="38"/>
      <c r="BH20" s="143" t="s">
        <v>111</v>
      </c>
      <c r="BM20" s="145">
        <f ca="1">IF(BM2&gt;=240,MAX(BM16+BM19,265),BM16+BM19)</f>
        <v>360.03773619559843</v>
      </c>
    </row>
    <row r="21" spans="2:65" s="34" customFormat="1" ht="30">
      <c r="C21" s="203" t="s">
        <v>195</v>
      </c>
      <c r="F21" s="202">
        <f>+SUMIF(F28:F76,"&gt;0")</f>
        <v>360</v>
      </c>
      <c r="G21" s="168">
        <f>+F21/12</f>
        <v>30</v>
      </c>
      <c r="H21" s="197"/>
      <c r="J21" s="193"/>
      <c r="P21" s="197"/>
      <c r="T21" s="168" t="s">
        <v>110</v>
      </c>
      <c r="U21" s="86">
        <f>+U19*0.001*U20</f>
        <v>88.162736195598455</v>
      </c>
      <c r="V21" s="169" t="s">
        <v>165</v>
      </c>
      <c r="Z21" s="197"/>
      <c r="AH21" s="156"/>
      <c r="AQ21" s="147"/>
      <c r="AR21"/>
      <c r="AS21" s="16"/>
      <c r="AU21" s="197"/>
      <c r="BG21" s="188"/>
      <c r="BH21" s="151" t="s">
        <v>131</v>
      </c>
      <c r="BI21"/>
      <c r="BJ21"/>
      <c r="BK21"/>
      <c r="BM21" s="153">
        <f ca="1">+BM20*12/VLOOKUP(MAX($BL$8:$BL$10),$BL$8:$BN$10,2,0)</f>
        <v>0.68578616418209226</v>
      </c>
    </row>
    <row r="22" spans="2:65" ht="15" customHeight="1">
      <c r="B22" s="23"/>
      <c r="C22" s="29" t="s">
        <v>190</v>
      </c>
      <c r="E22" s="37"/>
      <c r="F22" s="204">
        <f>+AVERAGEIF(G28:G76,"&gt;0")</f>
        <v>6300</v>
      </c>
      <c r="G22" s="150"/>
      <c r="T22" s="143" t="s">
        <v>147</v>
      </c>
      <c r="U22" s="170">
        <f>+U21+U18</f>
        <v>360.03773619559843</v>
      </c>
      <c r="V22" s="143" t="s">
        <v>166</v>
      </c>
      <c r="AS22" s="16"/>
    </row>
    <row r="23" spans="2:65" ht="15">
      <c r="B23" s="61"/>
      <c r="C23" s="29" t="s">
        <v>191</v>
      </c>
      <c r="E23" s="203"/>
      <c r="F23" s="204">
        <f>+F22/12</f>
        <v>525</v>
      </c>
      <c r="G23" s="150"/>
      <c r="I23" s="40"/>
      <c r="T23" s="143" t="s">
        <v>196</v>
      </c>
      <c r="U23" s="231">
        <v>0.04</v>
      </c>
      <c r="AA23" s="20"/>
      <c r="AB23" s="22"/>
      <c r="AC23" s="22"/>
      <c r="AD23" s="34"/>
      <c r="AE23" s="34"/>
      <c r="AF23" s="35"/>
    </row>
    <row r="24" spans="2:65" ht="15.75" thickBot="1">
      <c r="B24" s="264" t="s">
        <v>121</v>
      </c>
      <c r="C24" s="264"/>
      <c r="D24" s="264"/>
      <c r="E24" s="264"/>
      <c r="F24" s="264"/>
      <c r="G24" s="264"/>
      <c r="I24" s="264" t="s">
        <v>122</v>
      </c>
      <c r="J24" s="264"/>
      <c r="K24" s="264"/>
      <c r="L24" s="264"/>
      <c r="M24" s="264"/>
      <c r="N24" s="264"/>
      <c r="O24" s="264"/>
      <c r="Q24" s="264" t="s">
        <v>123</v>
      </c>
      <c r="R24" s="264"/>
      <c r="S24" s="264"/>
      <c r="T24" s="264"/>
      <c r="U24" s="264"/>
      <c r="V24" s="264"/>
      <c r="W24" s="264"/>
      <c r="X24" s="264"/>
      <c r="Y24" s="264"/>
      <c r="AA24" s="264" t="s">
        <v>124</v>
      </c>
      <c r="AB24" s="264"/>
      <c r="AC24" s="264"/>
      <c r="AD24" s="264"/>
      <c r="AE24" s="264"/>
      <c r="AF24" s="264"/>
      <c r="AG24" s="264"/>
      <c r="AH24" s="264"/>
      <c r="AI24" s="264"/>
      <c r="AK24" s="264" t="s">
        <v>125</v>
      </c>
      <c r="AL24" s="264"/>
      <c r="AM24" s="264"/>
      <c r="AN24" s="264"/>
      <c r="AO24" s="264"/>
      <c r="AP24" s="264"/>
      <c r="AQ24" s="264"/>
      <c r="AR24" s="264"/>
      <c r="AS24" s="264"/>
      <c r="AT24" s="264"/>
      <c r="AV24" s="264" t="s">
        <v>126</v>
      </c>
      <c r="AW24" s="264"/>
      <c r="AX24" s="264"/>
      <c r="AY24" s="264"/>
      <c r="AZ24" s="264"/>
      <c r="BA24" s="264"/>
      <c r="BB24" s="264"/>
      <c r="BC24" s="264"/>
      <c r="BD24" s="264"/>
      <c r="BE24" s="264"/>
    </row>
    <row r="25" spans="2:65" ht="16.5" thickTop="1" thickBot="1">
      <c r="B25" s="29" t="s">
        <v>135</v>
      </c>
      <c r="I25" s="143" t="s">
        <v>87</v>
      </c>
      <c r="O25" s="72"/>
      <c r="Q25" s="269" t="s">
        <v>104</v>
      </c>
      <c r="R25" s="269"/>
      <c r="S25" s="269"/>
      <c r="T25" s="269"/>
      <c r="U25" s="269"/>
      <c r="V25" s="269"/>
      <c r="W25" s="269"/>
      <c r="X25" s="269"/>
      <c r="Y25" s="269"/>
      <c r="AA25" s="265" t="s">
        <v>116</v>
      </c>
      <c r="AB25" s="265"/>
      <c r="AC25" s="265"/>
      <c r="AD25" s="265"/>
      <c r="AE25" s="265"/>
      <c r="AF25" s="265"/>
      <c r="AG25" s="265"/>
      <c r="AH25" s="265"/>
      <c r="AI25" s="265"/>
      <c r="AK25" s="265" t="s">
        <v>115</v>
      </c>
      <c r="AL25" s="265"/>
      <c r="AM25" s="265"/>
      <c r="AN25" s="265"/>
      <c r="AO25" s="265"/>
      <c r="AP25" s="265"/>
      <c r="AQ25" s="265"/>
      <c r="AR25" s="265"/>
      <c r="AS25" s="265"/>
      <c r="AT25" s="265"/>
      <c r="AV25" s="265" t="s">
        <v>181</v>
      </c>
      <c r="AW25" s="265"/>
      <c r="AX25" s="265"/>
      <c r="AY25" s="265"/>
      <c r="AZ25" s="265"/>
      <c r="BA25" s="265"/>
      <c r="BB25" s="265"/>
      <c r="BC25" s="265"/>
      <c r="BD25" s="265"/>
      <c r="BE25" s="265"/>
    </row>
    <row r="26" spans="2:65" ht="87" thickTop="1" thickBot="1">
      <c r="B26" s="44" t="s">
        <v>38</v>
      </c>
      <c r="C26" s="41" t="s">
        <v>63</v>
      </c>
      <c r="D26" s="41" t="s">
        <v>40</v>
      </c>
      <c r="E26" s="42" t="s">
        <v>41</v>
      </c>
      <c r="F26" s="41" t="s">
        <v>43</v>
      </c>
      <c r="G26" s="190" t="s">
        <v>42</v>
      </c>
      <c r="H26" s="197"/>
      <c r="I26" s="44" t="s">
        <v>38</v>
      </c>
      <c r="J26" s="42" t="s">
        <v>80</v>
      </c>
      <c r="K26" s="42" t="s">
        <v>43</v>
      </c>
      <c r="L26" s="42" t="s">
        <v>177</v>
      </c>
      <c r="M26" s="42" t="s">
        <v>178</v>
      </c>
      <c r="N26" s="178" t="s">
        <v>179</v>
      </c>
      <c r="O26" s="45" t="s">
        <v>180</v>
      </c>
      <c r="P26" s="197"/>
      <c r="Q26" s="44" t="s">
        <v>38</v>
      </c>
      <c r="R26" s="41" t="s">
        <v>39</v>
      </c>
      <c r="S26" s="41" t="s">
        <v>69</v>
      </c>
      <c r="T26" s="41" t="s">
        <v>64</v>
      </c>
      <c r="U26" s="41" t="s">
        <v>105</v>
      </c>
      <c r="V26" s="41" t="s">
        <v>100</v>
      </c>
      <c r="W26" s="42" t="s">
        <v>44</v>
      </c>
      <c r="X26" s="42" t="s">
        <v>45</v>
      </c>
      <c r="Y26" s="43" t="s">
        <v>101</v>
      </c>
      <c r="Z26" s="197"/>
      <c r="AA26" s="44" t="s">
        <v>38</v>
      </c>
      <c r="AB26" s="41" t="s">
        <v>39</v>
      </c>
      <c r="AC26" s="41" t="s">
        <v>69</v>
      </c>
      <c r="AD26" s="41" t="s">
        <v>64</v>
      </c>
      <c r="AE26" s="41" t="s">
        <v>102</v>
      </c>
      <c r="AF26" s="41" t="s">
        <v>100</v>
      </c>
      <c r="AG26" s="42" t="s">
        <v>44</v>
      </c>
      <c r="AH26" s="42" t="s">
        <v>45</v>
      </c>
      <c r="AI26" s="43" t="s">
        <v>101</v>
      </c>
      <c r="AK26" s="44" t="s">
        <v>38</v>
      </c>
      <c r="AL26" s="41" t="s">
        <v>39</v>
      </c>
      <c r="AM26" s="41" t="s">
        <v>69</v>
      </c>
      <c r="AN26" s="41" t="s">
        <v>64</v>
      </c>
      <c r="AO26" s="41" t="s">
        <v>65</v>
      </c>
      <c r="AP26" s="41" t="s">
        <v>192</v>
      </c>
      <c r="AQ26" s="41" t="s">
        <v>100</v>
      </c>
      <c r="AR26" s="42" t="s">
        <v>44</v>
      </c>
      <c r="AS26" s="42" t="s">
        <v>45</v>
      </c>
      <c r="AT26" s="66" t="s">
        <v>100</v>
      </c>
      <c r="AV26" s="44" t="s">
        <v>38</v>
      </c>
      <c r="AW26" s="41" t="s">
        <v>39</v>
      </c>
      <c r="AX26" s="41" t="s">
        <v>69</v>
      </c>
      <c r="AY26" s="41" t="s">
        <v>64</v>
      </c>
      <c r="AZ26" s="41" t="s">
        <v>65</v>
      </c>
      <c r="BA26" s="41" t="s">
        <v>192</v>
      </c>
      <c r="BB26" s="41" t="s">
        <v>100</v>
      </c>
      <c r="BC26" s="42" t="s">
        <v>44</v>
      </c>
      <c r="BD26" s="42" t="s">
        <v>45</v>
      </c>
      <c r="BE26" s="66" t="s">
        <v>100</v>
      </c>
    </row>
    <row r="27" spans="2:65" ht="15.75" thickTop="1" thickBot="1">
      <c r="B27" s="46"/>
      <c r="G27" s="191"/>
      <c r="I27" s="46"/>
      <c r="J27" s="46"/>
      <c r="K27" s="46"/>
      <c r="L27" s="46"/>
      <c r="M27" s="46"/>
      <c r="N27" s="46"/>
      <c r="O27" s="20"/>
      <c r="Q27" s="46"/>
      <c r="R27" s="20"/>
      <c r="S27" s="20"/>
      <c r="T27" s="20"/>
      <c r="U27" s="20"/>
      <c r="V27" s="20"/>
      <c r="W27" s="22"/>
      <c r="X27" s="22"/>
      <c r="AA27" s="46"/>
      <c r="AB27" s="20"/>
      <c r="AC27" s="20"/>
      <c r="AD27" s="20"/>
      <c r="AE27" s="20"/>
      <c r="AF27" s="20"/>
      <c r="AG27" s="22"/>
      <c r="AH27" s="22"/>
      <c r="AK27" s="46"/>
      <c r="AL27" s="20"/>
      <c r="AM27" s="20"/>
      <c r="AN27" s="20"/>
      <c r="AO27" s="20"/>
      <c r="AP27" s="20"/>
      <c r="AQ27" s="20"/>
      <c r="AR27" s="22"/>
      <c r="AS27" s="22"/>
      <c r="AV27" s="46"/>
      <c r="AW27" s="20"/>
      <c r="AX27" s="20"/>
      <c r="AY27" s="20"/>
      <c r="AZ27" s="20"/>
      <c r="BA27" s="20"/>
      <c r="BB27" s="20"/>
      <c r="BC27" s="22"/>
      <c r="BD27" s="22"/>
    </row>
    <row r="28" spans="2:65" ht="15.75" thickTop="1" thickBot="1">
      <c r="B28" s="57">
        <v>1</v>
      </c>
      <c r="C28" s="48">
        <f>+F4</f>
        <v>22</v>
      </c>
      <c r="D28" s="184">
        <v>1</v>
      </c>
      <c r="E28" s="48">
        <f>+IF($C28&gt;=$F$6,0,$F$19*D28)</f>
        <v>700</v>
      </c>
      <c r="F28" s="205">
        <f>+IF($C28&gt;=$F$6,0,$F$20)</f>
        <v>9</v>
      </c>
      <c r="G28" s="192">
        <f>+E28*F28</f>
        <v>6300</v>
      </c>
      <c r="I28" s="57">
        <f>+B28</f>
        <v>1</v>
      </c>
      <c r="J28" s="75">
        <f>+C28</f>
        <v>22</v>
      </c>
      <c r="K28" s="75">
        <f t="shared" ref="K28:K76" si="3">+IF(AL28&lt;=$AF$11,1,0)*F28</f>
        <v>9</v>
      </c>
      <c r="L28" s="48">
        <f>+IF(AL28&gt;$AF$11,0,IF(E28&gt;500,500*F28,E28*F28))</f>
        <v>4500</v>
      </c>
      <c r="M28" s="75">
        <f t="shared" ref="M28:M76" si="4">+IF(AL28&gt;$AF$11,0,IF(G28-L28 &lt;= 0,0,G28-L28))</f>
        <v>1800</v>
      </c>
      <c r="N28" s="75">
        <f>+IF($F$7&lt;7,L28+M28,IF(AL28&gt;$AF$11,0,IF($F$2=1,IF($J28&lt;$F$5,IF(G28&lt;=$F$16*12,G28,$F$16*12),G28),G28)))</f>
        <v>6300</v>
      </c>
      <c r="O28" s="179">
        <f>+IFERROR(N28/K28,0)</f>
        <v>700</v>
      </c>
      <c r="Q28" s="57">
        <f t="shared" ref="Q28:Q76" si="5">+I28</f>
        <v>1</v>
      </c>
      <c r="R28" s="87">
        <f t="shared" ref="R28:R76" si="6">+J28+1</f>
        <v>23</v>
      </c>
      <c r="S28" s="87">
        <f t="shared" ref="S28:S76" si="7">+IF(R28&lt;=$AF$11,1,0)</f>
        <v>1</v>
      </c>
      <c r="T28" s="141">
        <f>+$F$9-$F$17</f>
        <v>0.1</v>
      </c>
      <c r="U28" s="87">
        <f t="shared" ref="U28:U76" si="8">+M28</f>
        <v>1800</v>
      </c>
      <c r="V28" s="87">
        <f>+Y27</f>
        <v>0</v>
      </c>
      <c r="W28" s="87">
        <f>+T28*U28*S28</f>
        <v>180</v>
      </c>
      <c r="X28" s="87">
        <f>+$U$23*V28</f>
        <v>0</v>
      </c>
      <c r="Y28" s="142">
        <f>+(V28+W28+X28)</f>
        <v>180</v>
      </c>
      <c r="AA28" s="57">
        <f t="shared" ref="AA28:AA76" si="9">+B28</f>
        <v>1</v>
      </c>
      <c r="AB28" s="48">
        <f t="shared" ref="AB28:AB76" si="10">+C28+1</f>
        <v>23</v>
      </c>
      <c r="AC28" s="48">
        <f t="shared" ref="AC28:AC76" si="11">+IF(C28&lt;$F$5,1,0)</f>
        <v>0</v>
      </c>
      <c r="AD28" s="50">
        <f>F8</f>
        <v>0.15</v>
      </c>
      <c r="AE28" s="48">
        <f t="shared" ref="AE28:AE76" si="12">+IF($F$2=1,IF(G28&lt;=2500*12,G28,2500*12),G28)</f>
        <v>6300</v>
      </c>
      <c r="AF28" s="48">
        <f>+AI27</f>
        <v>0</v>
      </c>
      <c r="AG28" s="48">
        <f>+AD28*AE28*$AC28</f>
        <v>0</v>
      </c>
      <c r="AH28" s="48">
        <f t="shared" ref="AH28:AH76" si="13">+AF28*$F$11</f>
        <v>0</v>
      </c>
      <c r="AI28" s="49">
        <f>+(AF28+AG28+AH28)</f>
        <v>0</v>
      </c>
      <c r="AK28" s="57">
        <f>+AA28</f>
        <v>1</v>
      </c>
      <c r="AL28" s="48">
        <f>+AB28</f>
        <v>23</v>
      </c>
      <c r="AM28" s="48">
        <f t="shared" ref="AM28:AM65" si="14">+IF($C28&gt;=$F$5,1,0)</f>
        <v>1</v>
      </c>
      <c r="AN28" s="50">
        <f t="shared" ref="AN28:AN76" si="15">+$F$9*AM28</f>
        <v>0.13500000000000001</v>
      </c>
      <c r="AO28" s="50">
        <f t="shared" ref="AO28:AO76" si="16">+AM28*$F$10</f>
        <v>0.18</v>
      </c>
      <c r="AP28" s="207">
        <f>+G28</f>
        <v>6300</v>
      </c>
      <c r="AQ28" s="48">
        <f>+AT27</f>
        <v>0</v>
      </c>
      <c r="AR28" s="52">
        <f>+(AN28*AP28+AO28*(AP28/12))*AM28</f>
        <v>945</v>
      </c>
      <c r="AS28" s="48">
        <f>+AQ28*$F$12</f>
        <v>0</v>
      </c>
      <c r="AT28" s="49">
        <f>+(AQ28+AR28+AS28)</f>
        <v>945</v>
      </c>
      <c r="AV28" s="57">
        <f t="shared" ref="AV28:AW59" si="17">+AK28</f>
        <v>1</v>
      </c>
      <c r="AW28" s="48">
        <f t="shared" si="17"/>
        <v>23</v>
      </c>
      <c r="AX28" s="48">
        <v>1</v>
      </c>
      <c r="AY28" s="50">
        <f t="shared" ref="AY28:AY76" si="18">+$F$9*AX28</f>
        <v>0.13500000000000001</v>
      </c>
      <c r="AZ28" s="50">
        <f t="shared" ref="AZ28:AZ76" si="19">+AX28*$F$10</f>
        <v>0.18</v>
      </c>
      <c r="BA28" s="207">
        <f>+G28</f>
        <v>6300</v>
      </c>
      <c r="BB28" s="48">
        <f>+BE27</f>
        <v>0</v>
      </c>
      <c r="BC28" s="48">
        <f>+(AY28*BA28+AZ28*(BA28/12))*AX28</f>
        <v>945</v>
      </c>
      <c r="BD28" s="48">
        <f>+BB28*$F$12</f>
        <v>0</v>
      </c>
      <c r="BE28" s="49">
        <f>+(BB28+BC28+BD28)</f>
        <v>945</v>
      </c>
    </row>
    <row r="29" spans="2:65" ht="15.75" thickTop="1" thickBot="1">
      <c r="B29" s="58">
        <f t="shared" ref="B29:C44" si="20">+B28+1</f>
        <v>2</v>
      </c>
      <c r="C29" s="52">
        <f t="shared" si="20"/>
        <v>23</v>
      </c>
      <c r="D29" s="185">
        <f>+D28*(1+$F$18)</f>
        <v>1</v>
      </c>
      <c r="E29" s="48">
        <f t="shared" ref="E29:E76" si="21">+IF($C29&gt;=$F$6,0,$F$19*D29)</f>
        <v>700</v>
      </c>
      <c r="F29" s="205">
        <f t="shared" ref="F29:F76" si="22">+IF($C29&gt;=$F$6,0,$F$20)</f>
        <v>9</v>
      </c>
      <c r="G29" s="192">
        <f t="shared" ref="G29:G76" si="23">+E29*F29</f>
        <v>6300</v>
      </c>
      <c r="I29" s="58">
        <f t="shared" ref="I29:I76" si="24">+I28+1</f>
        <v>2</v>
      </c>
      <c r="J29" s="74">
        <f t="shared" ref="J29:J76" si="25">+C29</f>
        <v>23</v>
      </c>
      <c r="K29" s="74">
        <f t="shared" si="3"/>
        <v>9</v>
      </c>
      <c r="L29" s="52">
        <f t="shared" ref="L29:L76" si="26">+IF(AL29&gt;$AF$11,0,IF(E29&gt;500,500*F29,E29*F29))</f>
        <v>4500</v>
      </c>
      <c r="M29" s="74">
        <f t="shared" si="4"/>
        <v>1800</v>
      </c>
      <c r="N29" s="74">
        <f t="shared" ref="N29:N76" si="27">+IF($F$7&lt;7,L29+M29,IF(AL29&gt;$AF$11,0,IF($F$2=1,IF($J29&lt;$F$5,IF(G29&lt;=$F$16*12,G29,$F$16*12),G29),G29)))</f>
        <v>6300</v>
      </c>
      <c r="O29" s="180">
        <f t="shared" ref="O29:O76" si="28">+IFERROR(N29/K29,0)</f>
        <v>700</v>
      </c>
      <c r="Q29" s="58">
        <f t="shared" si="5"/>
        <v>2</v>
      </c>
      <c r="R29" s="52">
        <f t="shared" si="6"/>
        <v>24</v>
      </c>
      <c r="S29" s="52">
        <f t="shared" si="7"/>
        <v>1</v>
      </c>
      <c r="T29" s="54">
        <f>+T28</f>
        <v>0.1</v>
      </c>
      <c r="U29" s="52">
        <f t="shared" si="8"/>
        <v>1800</v>
      </c>
      <c r="V29" s="52">
        <f t="shared" ref="V29:V76" si="29">+Y28</f>
        <v>180</v>
      </c>
      <c r="W29" s="52">
        <f t="shared" ref="W29:W76" si="30">+T29*U29*S29</f>
        <v>180</v>
      </c>
      <c r="X29" s="87">
        <f t="shared" ref="X29:X76" si="31">+$U$23*V29</f>
        <v>7.2</v>
      </c>
      <c r="Y29" s="53">
        <f t="shared" ref="Y29:Y76" si="32">+(V29+W29+X29)</f>
        <v>367.2</v>
      </c>
      <c r="AA29" s="58">
        <f t="shared" si="9"/>
        <v>2</v>
      </c>
      <c r="AB29" s="52">
        <f t="shared" si="10"/>
        <v>24</v>
      </c>
      <c r="AC29" s="52">
        <f t="shared" si="11"/>
        <v>0</v>
      </c>
      <c r="AD29" s="54">
        <f>+AD28</f>
        <v>0.15</v>
      </c>
      <c r="AE29" s="52">
        <f t="shared" si="12"/>
        <v>6300</v>
      </c>
      <c r="AF29" s="52">
        <f t="shared" ref="AF29:AF76" si="33">+AI28</f>
        <v>0</v>
      </c>
      <c r="AG29" s="52">
        <f t="shared" ref="AG29:AG76" si="34">+AD29*AE29*$AC29</f>
        <v>0</v>
      </c>
      <c r="AH29" s="52">
        <f t="shared" si="13"/>
        <v>0</v>
      </c>
      <c r="AI29" s="53">
        <f t="shared" ref="AI29:AI76" si="35">+(AF29+AG29+AH29)</f>
        <v>0</v>
      </c>
      <c r="AK29" s="58">
        <f t="shared" ref="AK29:AL76" si="36">+AA29</f>
        <v>2</v>
      </c>
      <c r="AL29" s="52">
        <f t="shared" si="36"/>
        <v>24</v>
      </c>
      <c r="AM29" s="52">
        <f t="shared" si="14"/>
        <v>1</v>
      </c>
      <c r="AN29" s="54">
        <f t="shared" si="15"/>
        <v>0.13500000000000001</v>
      </c>
      <c r="AO29" s="54">
        <f t="shared" si="16"/>
        <v>0.18</v>
      </c>
      <c r="AP29" s="207">
        <f t="shared" ref="AP29:AP76" si="37">+G29</f>
        <v>6300</v>
      </c>
      <c r="AQ29" s="52">
        <f t="shared" ref="AQ29:AQ76" si="38">+AT28</f>
        <v>945</v>
      </c>
      <c r="AR29" s="52">
        <f t="shared" ref="AR29:AR76" si="39">+(AN29*AP29+AO29*(AP29/12))*AM29</f>
        <v>945</v>
      </c>
      <c r="AS29" s="48">
        <f t="shared" ref="AS29:AS76" si="40">+AQ29*$F$12</f>
        <v>37.800000000000004</v>
      </c>
      <c r="AT29" s="53">
        <f t="shared" ref="AT29:AT76" si="41">+(AQ29+AR29+AS29)</f>
        <v>1927.8</v>
      </c>
      <c r="AV29" s="58">
        <f t="shared" si="17"/>
        <v>2</v>
      </c>
      <c r="AW29" s="52">
        <f t="shared" si="17"/>
        <v>24</v>
      </c>
      <c r="AX29" s="48">
        <v>1</v>
      </c>
      <c r="AY29" s="54">
        <f t="shared" si="18"/>
        <v>0.13500000000000001</v>
      </c>
      <c r="AZ29" s="54">
        <f t="shared" si="19"/>
        <v>0.18</v>
      </c>
      <c r="BA29" s="207">
        <f t="shared" ref="BA29:BA76" si="42">+G29</f>
        <v>6300</v>
      </c>
      <c r="BB29" s="52">
        <f t="shared" ref="BB29:BB76" si="43">+BE28</f>
        <v>945</v>
      </c>
      <c r="BC29" s="48">
        <f t="shared" ref="BC29:BC76" si="44">+(AY29*BA29+AZ29*(BA29/12))*AX29</f>
        <v>945</v>
      </c>
      <c r="BD29" s="48">
        <f t="shared" ref="BD29:BD76" si="45">+BB29*$F$12</f>
        <v>37.800000000000004</v>
      </c>
      <c r="BE29" s="53">
        <f t="shared" ref="BE29:BE76" si="46">+(BB29+BC29+BD29)</f>
        <v>1927.8</v>
      </c>
    </row>
    <row r="30" spans="2:65" ht="15.75" thickTop="1" thickBot="1">
      <c r="B30" s="58">
        <f t="shared" si="20"/>
        <v>3</v>
      </c>
      <c r="C30" s="52">
        <f t="shared" si="20"/>
        <v>24</v>
      </c>
      <c r="D30" s="185">
        <f t="shared" ref="D30:D76" si="47">+D29*(1+$F$18)</f>
        <v>1</v>
      </c>
      <c r="E30" s="48">
        <f t="shared" si="21"/>
        <v>700</v>
      </c>
      <c r="F30" s="205">
        <f t="shared" si="22"/>
        <v>9</v>
      </c>
      <c r="G30" s="192">
        <f t="shared" si="23"/>
        <v>6300</v>
      </c>
      <c r="I30" s="58">
        <f t="shared" si="24"/>
        <v>3</v>
      </c>
      <c r="J30" s="74">
        <f t="shared" si="25"/>
        <v>24</v>
      </c>
      <c r="K30" s="74">
        <f t="shared" si="3"/>
        <v>9</v>
      </c>
      <c r="L30" s="52">
        <f t="shared" si="26"/>
        <v>4500</v>
      </c>
      <c r="M30" s="74">
        <f t="shared" si="4"/>
        <v>1800</v>
      </c>
      <c r="N30" s="74">
        <f t="shared" si="27"/>
        <v>6300</v>
      </c>
      <c r="O30" s="180">
        <f t="shared" si="28"/>
        <v>700</v>
      </c>
      <c r="Q30" s="58">
        <f t="shared" si="5"/>
        <v>3</v>
      </c>
      <c r="R30" s="52">
        <f t="shared" si="6"/>
        <v>25</v>
      </c>
      <c r="S30" s="52">
        <f t="shared" si="7"/>
        <v>1</v>
      </c>
      <c r="T30" s="54">
        <f t="shared" ref="T30:T76" si="48">+T29</f>
        <v>0.1</v>
      </c>
      <c r="U30" s="52">
        <f t="shared" si="8"/>
        <v>1800</v>
      </c>
      <c r="V30" s="52">
        <f t="shared" si="29"/>
        <v>367.2</v>
      </c>
      <c r="W30" s="52">
        <f t="shared" si="30"/>
        <v>180</v>
      </c>
      <c r="X30" s="87">
        <f t="shared" si="31"/>
        <v>14.688000000000001</v>
      </c>
      <c r="Y30" s="53">
        <f t="shared" si="32"/>
        <v>561.88800000000003</v>
      </c>
      <c r="AA30" s="58">
        <f t="shared" si="9"/>
        <v>3</v>
      </c>
      <c r="AB30" s="52">
        <f t="shared" si="10"/>
        <v>25</v>
      </c>
      <c r="AC30" s="52">
        <f t="shared" si="11"/>
        <v>0</v>
      </c>
      <c r="AD30" s="54">
        <f t="shared" ref="AD30:AD76" si="49">+AD29</f>
        <v>0.15</v>
      </c>
      <c r="AE30" s="52">
        <f t="shared" si="12"/>
        <v>6300</v>
      </c>
      <c r="AF30" s="52">
        <f t="shared" si="33"/>
        <v>0</v>
      </c>
      <c r="AG30" s="52">
        <f t="shared" si="34"/>
        <v>0</v>
      </c>
      <c r="AH30" s="52">
        <f t="shared" si="13"/>
        <v>0</v>
      </c>
      <c r="AI30" s="53">
        <f t="shared" si="35"/>
        <v>0</v>
      </c>
      <c r="AK30" s="58">
        <f t="shared" si="36"/>
        <v>3</v>
      </c>
      <c r="AL30" s="52">
        <f t="shared" si="36"/>
        <v>25</v>
      </c>
      <c r="AM30" s="52">
        <f t="shared" si="14"/>
        <v>1</v>
      </c>
      <c r="AN30" s="54">
        <f t="shared" si="15"/>
        <v>0.13500000000000001</v>
      </c>
      <c r="AO30" s="54">
        <f t="shared" si="16"/>
        <v>0.18</v>
      </c>
      <c r="AP30" s="207">
        <f t="shared" si="37"/>
        <v>6300</v>
      </c>
      <c r="AQ30" s="52">
        <f t="shared" si="38"/>
        <v>1927.8</v>
      </c>
      <c r="AR30" s="52">
        <f t="shared" si="39"/>
        <v>945</v>
      </c>
      <c r="AS30" s="48">
        <f t="shared" si="40"/>
        <v>77.111999999999995</v>
      </c>
      <c r="AT30" s="53">
        <f t="shared" si="41"/>
        <v>2949.9120000000003</v>
      </c>
      <c r="AV30" s="58">
        <f t="shared" si="17"/>
        <v>3</v>
      </c>
      <c r="AW30" s="52">
        <f t="shared" si="17"/>
        <v>25</v>
      </c>
      <c r="AX30" s="48">
        <v>1</v>
      </c>
      <c r="AY30" s="54">
        <f t="shared" si="18"/>
        <v>0.13500000000000001</v>
      </c>
      <c r="AZ30" s="54">
        <f t="shared" si="19"/>
        <v>0.18</v>
      </c>
      <c r="BA30" s="207">
        <f t="shared" si="42"/>
        <v>6300</v>
      </c>
      <c r="BB30" s="52">
        <f t="shared" si="43"/>
        <v>1927.8</v>
      </c>
      <c r="BC30" s="48">
        <f t="shared" si="44"/>
        <v>945</v>
      </c>
      <c r="BD30" s="48">
        <f t="shared" si="45"/>
        <v>77.111999999999995</v>
      </c>
      <c r="BE30" s="53">
        <f t="shared" si="46"/>
        <v>2949.9120000000003</v>
      </c>
    </row>
    <row r="31" spans="2:65" ht="15.75" thickTop="1" thickBot="1">
      <c r="B31" s="58">
        <f t="shared" si="20"/>
        <v>4</v>
      </c>
      <c r="C31" s="52">
        <f t="shared" si="20"/>
        <v>25</v>
      </c>
      <c r="D31" s="185">
        <f t="shared" si="47"/>
        <v>1</v>
      </c>
      <c r="E31" s="48">
        <f t="shared" si="21"/>
        <v>700</v>
      </c>
      <c r="F31" s="205">
        <f t="shared" si="22"/>
        <v>9</v>
      </c>
      <c r="G31" s="192">
        <f t="shared" si="23"/>
        <v>6300</v>
      </c>
      <c r="I31" s="58">
        <f t="shared" si="24"/>
        <v>4</v>
      </c>
      <c r="J31" s="74">
        <f t="shared" si="25"/>
        <v>25</v>
      </c>
      <c r="K31" s="74">
        <f t="shared" si="3"/>
        <v>9</v>
      </c>
      <c r="L31" s="52">
        <f t="shared" si="26"/>
        <v>4500</v>
      </c>
      <c r="M31" s="74">
        <f t="shared" si="4"/>
        <v>1800</v>
      </c>
      <c r="N31" s="74">
        <f t="shared" si="27"/>
        <v>6300</v>
      </c>
      <c r="O31" s="180">
        <f t="shared" si="28"/>
        <v>700</v>
      </c>
      <c r="Q31" s="58">
        <f t="shared" si="5"/>
        <v>4</v>
      </c>
      <c r="R31" s="52">
        <f t="shared" si="6"/>
        <v>26</v>
      </c>
      <c r="S31" s="52">
        <f t="shared" si="7"/>
        <v>1</v>
      </c>
      <c r="T31" s="54">
        <f t="shared" si="48"/>
        <v>0.1</v>
      </c>
      <c r="U31" s="52">
        <f t="shared" si="8"/>
        <v>1800</v>
      </c>
      <c r="V31" s="52">
        <f t="shared" si="29"/>
        <v>561.88800000000003</v>
      </c>
      <c r="W31" s="52">
        <f t="shared" si="30"/>
        <v>180</v>
      </c>
      <c r="X31" s="87">
        <f t="shared" si="31"/>
        <v>22.475520000000003</v>
      </c>
      <c r="Y31" s="53">
        <f t="shared" si="32"/>
        <v>764.36351999999999</v>
      </c>
      <c r="AA31" s="58">
        <f t="shared" si="9"/>
        <v>4</v>
      </c>
      <c r="AB31" s="52">
        <f t="shared" si="10"/>
        <v>26</v>
      </c>
      <c r="AC31" s="52">
        <f t="shared" si="11"/>
        <v>0</v>
      </c>
      <c r="AD31" s="54">
        <f t="shared" si="49"/>
        <v>0.15</v>
      </c>
      <c r="AE31" s="52">
        <f t="shared" si="12"/>
        <v>6300</v>
      </c>
      <c r="AF31" s="52">
        <f t="shared" si="33"/>
        <v>0</v>
      </c>
      <c r="AG31" s="52">
        <f t="shared" si="34"/>
        <v>0</v>
      </c>
      <c r="AH31" s="52">
        <f t="shared" si="13"/>
        <v>0</v>
      </c>
      <c r="AI31" s="53">
        <f t="shared" si="35"/>
        <v>0</v>
      </c>
      <c r="AK31" s="58">
        <f t="shared" si="36"/>
        <v>4</v>
      </c>
      <c r="AL31" s="52">
        <f t="shared" si="36"/>
        <v>26</v>
      </c>
      <c r="AM31" s="52">
        <f t="shared" si="14"/>
        <v>1</v>
      </c>
      <c r="AN31" s="54">
        <f t="shared" si="15"/>
        <v>0.13500000000000001</v>
      </c>
      <c r="AO31" s="54">
        <f t="shared" si="16"/>
        <v>0.18</v>
      </c>
      <c r="AP31" s="207">
        <f t="shared" si="37"/>
        <v>6300</v>
      </c>
      <c r="AQ31" s="52">
        <f t="shared" si="38"/>
        <v>2949.9120000000003</v>
      </c>
      <c r="AR31" s="52">
        <f t="shared" si="39"/>
        <v>945</v>
      </c>
      <c r="AS31" s="48">
        <f t="shared" si="40"/>
        <v>117.99648000000002</v>
      </c>
      <c r="AT31" s="53">
        <f t="shared" si="41"/>
        <v>4012.9084800000001</v>
      </c>
      <c r="AV31" s="58">
        <f t="shared" si="17"/>
        <v>4</v>
      </c>
      <c r="AW31" s="52">
        <f t="shared" si="17"/>
        <v>26</v>
      </c>
      <c r="AX31" s="48">
        <v>1</v>
      </c>
      <c r="AY31" s="54">
        <f t="shared" si="18"/>
        <v>0.13500000000000001</v>
      </c>
      <c r="AZ31" s="54">
        <f t="shared" si="19"/>
        <v>0.18</v>
      </c>
      <c r="BA31" s="207">
        <f t="shared" si="42"/>
        <v>6300</v>
      </c>
      <c r="BB31" s="52">
        <f t="shared" si="43"/>
        <v>2949.9120000000003</v>
      </c>
      <c r="BC31" s="48">
        <f t="shared" si="44"/>
        <v>945</v>
      </c>
      <c r="BD31" s="48">
        <f t="shared" si="45"/>
        <v>117.99648000000002</v>
      </c>
      <c r="BE31" s="53">
        <f t="shared" si="46"/>
        <v>4012.9084800000001</v>
      </c>
    </row>
    <row r="32" spans="2:65" ht="15.75" thickTop="1" thickBot="1">
      <c r="B32" s="58">
        <f t="shared" si="20"/>
        <v>5</v>
      </c>
      <c r="C32" s="52">
        <f t="shared" si="20"/>
        <v>26</v>
      </c>
      <c r="D32" s="185">
        <f t="shared" si="47"/>
        <v>1</v>
      </c>
      <c r="E32" s="48">
        <f t="shared" si="21"/>
        <v>700</v>
      </c>
      <c r="F32" s="205">
        <f t="shared" si="22"/>
        <v>9</v>
      </c>
      <c r="G32" s="192">
        <f t="shared" si="23"/>
        <v>6300</v>
      </c>
      <c r="I32" s="58">
        <f t="shared" si="24"/>
        <v>5</v>
      </c>
      <c r="J32" s="74">
        <f t="shared" si="25"/>
        <v>26</v>
      </c>
      <c r="K32" s="74">
        <f t="shared" si="3"/>
        <v>9</v>
      </c>
      <c r="L32" s="52">
        <f t="shared" si="26"/>
        <v>4500</v>
      </c>
      <c r="M32" s="74">
        <f t="shared" si="4"/>
        <v>1800</v>
      </c>
      <c r="N32" s="74">
        <f t="shared" si="27"/>
        <v>6300</v>
      </c>
      <c r="O32" s="180">
        <f t="shared" si="28"/>
        <v>700</v>
      </c>
      <c r="Q32" s="58">
        <f t="shared" si="5"/>
        <v>5</v>
      </c>
      <c r="R32" s="52">
        <f t="shared" si="6"/>
        <v>27</v>
      </c>
      <c r="S32" s="52">
        <f t="shared" si="7"/>
        <v>1</v>
      </c>
      <c r="T32" s="54">
        <f t="shared" si="48"/>
        <v>0.1</v>
      </c>
      <c r="U32" s="52">
        <f t="shared" si="8"/>
        <v>1800</v>
      </c>
      <c r="V32" s="52">
        <f t="shared" si="29"/>
        <v>764.36351999999999</v>
      </c>
      <c r="W32" s="52">
        <f t="shared" si="30"/>
        <v>180</v>
      </c>
      <c r="X32" s="87">
        <f t="shared" si="31"/>
        <v>30.574540800000001</v>
      </c>
      <c r="Y32" s="53">
        <f t="shared" si="32"/>
        <v>974.93806080000002</v>
      </c>
      <c r="AA32" s="58">
        <f t="shared" si="9"/>
        <v>5</v>
      </c>
      <c r="AB32" s="52">
        <f t="shared" si="10"/>
        <v>27</v>
      </c>
      <c r="AC32" s="52">
        <f t="shared" si="11"/>
        <v>0</v>
      </c>
      <c r="AD32" s="54">
        <f t="shared" si="49"/>
        <v>0.15</v>
      </c>
      <c r="AE32" s="52">
        <f t="shared" si="12"/>
        <v>6300</v>
      </c>
      <c r="AF32" s="52">
        <f t="shared" si="33"/>
        <v>0</v>
      </c>
      <c r="AG32" s="52">
        <f t="shared" si="34"/>
        <v>0</v>
      </c>
      <c r="AH32" s="52">
        <f t="shared" si="13"/>
        <v>0</v>
      </c>
      <c r="AI32" s="53">
        <f t="shared" si="35"/>
        <v>0</v>
      </c>
      <c r="AK32" s="58">
        <f t="shared" si="36"/>
        <v>5</v>
      </c>
      <c r="AL32" s="52">
        <f t="shared" si="36"/>
        <v>27</v>
      </c>
      <c r="AM32" s="52">
        <f t="shared" si="14"/>
        <v>1</v>
      </c>
      <c r="AN32" s="54">
        <f t="shared" si="15"/>
        <v>0.13500000000000001</v>
      </c>
      <c r="AO32" s="54">
        <f t="shared" si="16"/>
        <v>0.18</v>
      </c>
      <c r="AP32" s="207">
        <f t="shared" si="37"/>
        <v>6300</v>
      </c>
      <c r="AQ32" s="52">
        <f t="shared" si="38"/>
        <v>4012.9084800000001</v>
      </c>
      <c r="AR32" s="52">
        <f t="shared" si="39"/>
        <v>945</v>
      </c>
      <c r="AS32" s="48">
        <f t="shared" si="40"/>
        <v>160.5163392</v>
      </c>
      <c r="AT32" s="53">
        <f t="shared" si="41"/>
        <v>5118.4248192000005</v>
      </c>
      <c r="AV32" s="58">
        <f t="shared" si="17"/>
        <v>5</v>
      </c>
      <c r="AW32" s="52">
        <f t="shared" si="17"/>
        <v>27</v>
      </c>
      <c r="AX32" s="48">
        <v>1</v>
      </c>
      <c r="AY32" s="54">
        <f t="shared" si="18"/>
        <v>0.13500000000000001</v>
      </c>
      <c r="AZ32" s="54">
        <f t="shared" si="19"/>
        <v>0.18</v>
      </c>
      <c r="BA32" s="207">
        <f t="shared" si="42"/>
        <v>6300</v>
      </c>
      <c r="BB32" s="52">
        <f t="shared" si="43"/>
        <v>4012.9084800000001</v>
      </c>
      <c r="BC32" s="48">
        <f t="shared" si="44"/>
        <v>945</v>
      </c>
      <c r="BD32" s="48">
        <f t="shared" si="45"/>
        <v>160.5163392</v>
      </c>
      <c r="BE32" s="53">
        <f t="shared" si="46"/>
        <v>5118.4248192000005</v>
      </c>
    </row>
    <row r="33" spans="2:57" ht="15.75" thickTop="1" thickBot="1">
      <c r="B33" s="58">
        <f t="shared" si="20"/>
        <v>6</v>
      </c>
      <c r="C33" s="52">
        <f t="shared" si="20"/>
        <v>27</v>
      </c>
      <c r="D33" s="185">
        <f t="shared" si="47"/>
        <v>1</v>
      </c>
      <c r="E33" s="48">
        <f t="shared" si="21"/>
        <v>700</v>
      </c>
      <c r="F33" s="205">
        <f t="shared" si="22"/>
        <v>9</v>
      </c>
      <c r="G33" s="192">
        <f t="shared" si="23"/>
        <v>6300</v>
      </c>
      <c r="I33" s="58">
        <f t="shared" si="24"/>
        <v>6</v>
      </c>
      <c r="J33" s="74">
        <f t="shared" si="25"/>
        <v>27</v>
      </c>
      <c r="K33" s="74">
        <f t="shared" si="3"/>
        <v>9</v>
      </c>
      <c r="L33" s="52">
        <f t="shared" si="26"/>
        <v>4500</v>
      </c>
      <c r="M33" s="74">
        <f t="shared" si="4"/>
        <v>1800</v>
      </c>
      <c r="N33" s="74">
        <f t="shared" si="27"/>
        <v>6300</v>
      </c>
      <c r="O33" s="180">
        <f t="shared" si="28"/>
        <v>700</v>
      </c>
      <c r="Q33" s="58">
        <f t="shared" si="5"/>
        <v>6</v>
      </c>
      <c r="R33" s="52">
        <f t="shared" si="6"/>
        <v>28</v>
      </c>
      <c r="S33" s="52">
        <f t="shared" si="7"/>
        <v>1</v>
      </c>
      <c r="T33" s="54">
        <f t="shared" si="48"/>
        <v>0.1</v>
      </c>
      <c r="U33" s="52">
        <f t="shared" si="8"/>
        <v>1800</v>
      </c>
      <c r="V33" s="52">
        <f t="shared" si="29"/>
        <v>974.93806080000002</v>
      </c>
      <c r="W33" s="52">
        <f t="shared" si="30"/>
        <v>180</v>
      </c>
      <c r="X33" s="87">
        <f t="shared" si="31"/>
        <v>38.997522432000004</v>
      </c>
      <c r="Y33" s="53">
        <f t="shared" si="32"/>
        <v>1193.9355832320002</v>
      </c>
      <c r="AA33" s="58">
        <f t="shared" si="9"/>
        <v>6</v>
      </c>
      <c r="AB33" s="52">
        <f t="shared" si="10"/>
        <v>28</v>
      </c>
      <c r="AC33" s="52">
        <f t="shared" si="11"/>
        <v>0</v>
      </c>
      <c r="AD33" s="54">
        <f t="shared" si="49"/>
        <v>0.15</v>
      </c>
      <c r="AE33" s="52">
        <f t="shared" si="12"/>
        <v>6300</v>
      </c>
      <c r="AF33" s="52">
        <f t="shared" si="33"/>
        <v>0</v>
      </c>
      <c r="AG33" s="52">
        <f t="shared" si="34"/>
        <v>0</v>
      </c>
      <c r="AH33" s="52">
        <f t="shared" si="13"/>
        <v>0</v>
      </c>
      <c r="AI33" s="53">
        <f t="shared" si="35"/>
        <v>0</v>
      </c>
      <c r="AK33" s="58">
        <f t="shared" si="36"/>
        <v>6</v>
      </c>
      <c r="AL33" s="52">
        <f t="shared" si="36"/>
        <v>28</v>
      </c>
      <c r="AM33" s="52">
        <f t="shared" si="14"/>
        <v>1</v>
      </c>
      <c r="AN33" s="54">
        <f t="shared" si="15"/>
        <v>0.13500000000000001</v>
      </c>
      <c r="AO33" s="54">
        <f t="shared" si="16"/>
        <v>0.18</v>
      </c>
      <c r="AP33" s="207">
        <f t="shared" si="37"/>
        <v>6300</v>
      </c>
      <c r="AQ33" s="52">
        <f t="shared" si="38"/>
        <v>5118.4248192000005</v>
      </c>
      <c r="AR33" s="52">
        <f t="shared" si="39"/>
        <v>945</v>
      </c>
      <c r="AS33" s="48">
        <f t="shared" si="40"/>
        <v>204.73699276800002</v>
      </c>
      <c r="AT33" s="53">
        <f t="shared" si="41"/>
        <v>6268.1618119680006</v>
      </c>
      <c r="AV33" s="58">
        <f t="shared" si="17"/>
        <v>6</v>
      </c>
      <c r="AW33" s="52">
        <f t="shared" si="17"/>
        <v>28</v>
      </c>
      <c r="AX33" s="48">
        <v>1</v>
      </c>
      <c r="AY33" s="54">
        <f t="shared" si="18"/>
        <v>0.13500000000000001</v>
      </c>
      <c r="AZ33" s="54">
        <f t="shared" si="19"/>
        <v>0.18</v>
      </c>
      <c r="BA33" s="207">
        <f t="shared" si="42"/>
        <v>6300</v>
      </c>
      <c r="BB33" s="52">
        <f t="shared" si="43"/>
        <v>5118.4248192000005</v>
      </c>
      <c r="BC33" s="48">
        <f t="shared" si="44"/>
        <v>945</v>
      </c>
      <c r="BD33" s="48">
        <f t="shared" si="45"/>
        <v>204.73699276800002</v>
      </c>
      <c r="BE33" s="53">
        <f t="shared" si="46"/>
        <v>6268.1618119680006</v>
      </c>
    </row>
    <row r="34" spans="2:57" ht="15.75" thickTop="1" thickBot="1">
      <c r="B34" s="58">
        <f t="shared" si="20"/>
        <v>7</v>
      </c>
      <c r="C34" s="52">
        <f t="shared" si="20"/>
        <v>28</v>
      </c>
      <c r="D34" s="185">
        <f t="shared" si="47"/>
        <v>1</v>
      </c>
      <c r="E34" s="48">
        <f t="shared" si="21"/>
        <v>700</v>
      </c>
      <c r="F34" s="205">
        <f t="shared" si="22"/>
        <v>9</v>
      </c>
      <c r="G34" s="192">
        <f t="shared" si="23"/>
        <v>6300</v>
      </c>
      <c r="I34" s="58">
        <f t="shared" si="24"/>
        <v>7</v>
      </c>
      <c r="J34" s="74">
        <f t="shared" si="25"/>
        <v>28</v>
      </c>
      <c r="K34" s="74">
        <f t="shared" si="3"/>
        <v>9</v>
      </c>
      <c r="L34" s="52">
        <f t="shared" si="26"/>
        <v>4500</v>
      </c>
      <c r="M34" s="74">
        <f t="shared" si="4"/>
        <v>1800</v>
      </c>
      <c r="N34" s="74">
        <f t="shared" si="27"/>
        <v>6300</v>
      </c>
      <c r="O34" s="180">
        <f t="shared" si="28"/>
        <v>700</v>
      </c>
      <c r="Q34" s="58">
        <f t="shared" si="5"/>
        <v>7</v>
      </c>
      <c r="R34" s="52">
        <f t="shared" si="6"/>
        <v>29</v>
      </c>
      <c r="S34" s="52">
        <f t="shared" si="7"/>
        <v>1</v>
      </c>
      <c r="T34" s="54">
        <f t="shared" si="48"/>
        <v>0.1</v>
      </c>
      <c r="U34" s="52">
        <f t="shared" si="8"/>
        <v>1800</v>
      </c>
      <c r="V34" s="52">
        <f t="shared" si="29"/>
        <v>1193.9355832320002</v>
      </c>
      <c r="W34" s="52">
        <f t="shared" si="30"/>
        <v>180</v>
      </c>
      <c r="X34" s="87">
        <f t="shared" si="31"/>
        <v>47.757423329280009</v>
      </c>
      <c r="Y34" s="53">
        <f t="shared" si="32"/>
        <v>1421.6930065612803</v>
      </c>
      <c r="AA34" s="58">
        <f t="shared" si="9"/>
        <v>7</v>
      </c>
      <c r="AB34" s="52">
        <f t="shared" si="10"/>
        <v>29</v>
      </c>
      <c r="AC34" s="52">
        <f t="shared" si="11"/>
        <v>0</v>
      </c>
      <c r="AD34" s="54">
        <f t="shared" si="49"/>
        <v>0.15</v>
      </c>
      <c r="AE34" s="52">
        <f t="shared" si="12"/>
        <v>6300</v>
      </c>
      <c r="AF34" s="52">
        <f t="shared" si="33"/>
        <v>0</v>
      </c>
      <c r="AG34" s="52">
        <f t="shared" si="34"/>
        <v>0</v>
      </c>
      <c r="AH34" s="52">
        <f t="shared" si="13"/>
        <v>0</v>
      </c>
      <c r="AI34" s="53">
        <f t="shared" si="35"/>
        <v>0</v>
      </c>
      <c r="AK34" s="58">
        <f t="shared" si="36"/>
        <v>7</v>
      </c>
      <c r="AL34" s="52">
        <f t="shared" si="36"/>
        <v>29</v>
      </c>
      <c r="AM34" s="52">
        <f t="shared" si="14"/>
        <v>1</v>
      </c>
      <c r="AN34" s="54">
        <f t="shared" si="15"/>
        <v>0.13500000000000001</v>
      </c>
      <c r="AO34" s="54">
        <f t="shared" si="16"/>
        <v>0.18</v>
      </c>
      <c r="AP34" s="207">
        <f t="shared" si="37"/>
        <v>6300</v>
      </c>
      <c r="AQ34" s="52">
        <f t="shared" si="38"/>
        <v>6268.1618119680006</v>
      </c>
      <c r="AR34" s="52">
        <f t="shared" si="39"/>
        <v>945</v>
      </c>
      <c r="AS34" s="48">
        <f t="shared" si="40"/>
        <v>250.72647247872004</v>
      </c>
      <c r="AT34" s="53">
        <f t="shared" si="41"/>
        <v>7463.8882844467207</v>
      </c>
      <c r="AV34" s="58">
        <f t="shared" si="17"/>
        <v>7</v>
      </c>
      <c r="AW34" s="52">
        <f t="shared" si="17"/>
        <v>29</v>
      </c>
      <c r="AX34" s="48">
        <v>1</v>
      </c>
      <c r="AY34" s="54">
        <f t="shared" si="18"/>
        <v>0.13500000000000001</v>
      </c>
      <c r="AZ34" s="54">
        <f t="shared" si="19"/>
        <v>0.18</v>
      </c>
      <c r="BA34" s="207">
        <f t="shared" si="42"/>
        <v>6300</v>
      </c>
      <c r="BB34" s="52">
        <f t="shared" si="43"/>
        <v>6268.1618119680006</v>
      </c>
      <c r="BC34" s="48">
        <f t="shared" si="44"/>
        <v>945</v>
      </c>
      <c r="BD34" s="48">
        <f t="shared" si="45"/>
        <v>250.72647247872004</v>
      </c>
      <c r="BE34" s="53">
        <f t="shared" si="46"/>
        <v>7463.8882844467207</v>
      </c>
    </row>
    <row r="35" spans="2:57" ht="15.75" thickTop="1" thickBot="1">
      <c r="B35" s="58">
        <f t="shared" si="20"/>
        <v>8</v>
      </c>
      <c r="C35" s="52">
        <f t="shared" si="20"/>
        <v>29</v>
      </c>
      <c r="D35" s="185">
        <f t="shared" si="47"/>
        <v>1</v>
      </c>
      <c r="E35" s="48">
        <f t="shared" si="21"/>
        <v>700</v>
      </c>
      <c r="F35" s="205">
        <f t="shared" si="22"/>
        <v>9</v>
      </c>
      <c r="G35" s="192">
        <f t="shared" si="23"/>
        <v>6300</v>
      </c>
      <c r="I35" s="58">
        <f t="shared" si="24"/>
        <v>8</v>
      </c>
      <c r="J35" s="74">
        <f t="shared" si="25"/>
        <v>29</v>
      </c>
      <c r="K35" s="74">
        <f t="shared" si="3"/>
        <v>9</v>
      </c>
      <c r="L35" s="52">
        <f t="shared" si="26"/>
        <v>4500</v>
      </c>
      <c r="M35" s="74">
        <f t="shared" si="4"/>
        <v>1800</v>
      </c>
      <c r="N35" s="74">
        <f t="shared" si="27"/>
        <v>6300</v>
      </c>
      <c r="O35" s="180">
        <f t="shared" si="28"/>
        <v>700</v>
      </c>
      <c r="Q35" s="58">
        <f t="shared" si="5"/>
        <v>8</v>
      </c>
      <c r="R35" s="52">
        <f t="shared" si="6"/>
        <v>30</v>
      </c>
      <c r="S35" s="52">
        <f t="shared" si="7"/>
        <v>1</v>
      </c>
      <c r="T35" s="54">
        <f t="shared" si="48"/>
        <v>0.1</v>
      </c>
      <c r="U35" s="52">
        <f t="shared" si="8"/>
        <v>1800</v>
      </c>
      <c r="V35" s="52">
        <f t="shared" si="29"/>
        <v>1421.6930065612803</v>
      </c>
      <c r="W35" s="52">
        <f t="shared" si="30"/>
        <v>180</v>
      </c>
      <c r="X35" s="87">
        <f t="shared" si="31"/>
        <v>56.867720262451215</v>
      </c>
      <c r="Y35" s="53">
        <f t="shared" si="32"/>
        <v>1658.5607268237316</v>
      </c>
      <c r="AA35" s="58">
        <f t="shared" si="9"/>
        <v>8</v>
      </c>
      <c r="AB35" s="52">
        <f t="shared" si="10"/>
        <v>30</v>
      </c>
      <c r="AC35" s="52">
        <f t="shared" si="11"/>
        <v>0</v>
      </c>
      <c r="AD35" s="54">
        <f t="shared" si="49"/>
        <v>0.15</v>
      </c>
      <c r="AE35" s="52">
        <f t="shared" si="12"/>
        <v>6300</v>
      </c>
      <c r="AF35" s="52">
        <f t="shared" si="33"/>
        <v>0</v>
      </c>
      <c r="AG35" s="52">
        <f t="shared" si="34"/>
        <v>0</v>
      </c>
      <c r="AH35" s="52">
        <f t="shared" si="13"/>
        <v>0</v>
      </c>
      <c r="AI35" s="53">
        <f t="shared" si="35"/>
        <v>0</v>
      </c>
      <c r="AK35" s="58">
        <f t="shared" si="36"/>
        <v>8</v>
      </c>
      <c r="AL35" s="52">
        <f t="shared" si="36"/>
        <v>30</v>
      </c>
      <c r="AM35" s="52">
        <f t="shared" si="14"/>
        <v>1</v>
      </c>
      <c r="AN35" s="54">
        <f t="shared" si="15"/>
        <v>0.13500000000000001</v>
      </c>
      <c r="AO35" s="54">
        <f t="shared" si="16"/>
        <v>0.18</v>
      </c>
      <c r="AP35" s="207">
        <f t="shared" si="37"/>
        <v>6300</v>
      </c>
      <c r="AQ35" s="52">
        <f t="shared" si="38"/>
        <v>7463.8882844467207</v>
      </c>
      <c r="AR35" s="52">
        <f t="shared" si="39"/>
        <v>945</v>
      </c>
      <c r="AS35" s="48">
        <f t="shared" si="40"/>
        <v>298.55553137786882</v>
      </c>
      <c r="AT35" s="53">
        <f t="shared" si="41"/>
        <v>8707.4438158245903</v>
      </c>
      <c r="AV35" s="58">
        <f t="shared" si="17"/>
        <v>8</v>
      </c>
      <c r="AW35" s="52">
        <f t="shared" si="17"/>
        <v>30</v>
      </c>
      <c r="AX35" s="48">
        <v>1</v>
      </c>
      <c r="AY35" s="54">
        <f t="shared" si="18"/>
        <v>0.13500000000000001</v>
      </c>
      <c r="AZ35" s="54">
        <f t="shared" si="19"/>
        <v>0.18</v>
      </c>
      <c r="BA35" s="207">
        <f t="shared" si="42"/>
        <v>6300</v>
      </c>
      <c r="BB35" s="52">
        <f t="shared" si="43"/>
        <v>7463.8882844467207</v>
      </c>
      <c r="BC35" s="48">
        <f t="shared" si="44"/>
        <v>945</v>
      </c>
      <c r="BD35" s="48">
        <f t="shared" si="45"/>
        <v>298.55553137786882</v>
      </c>
      <c r="BE35" s="53">
        <f t="shared" si="46"/>
        <v>8707.4438158245903</v>
      </c>
    </row>
    <row r="36" spans="2:57" ht="15.75" thickTop="1" thickBot="1">
      <c r="B36" s="58">
        <f t="shared" si="20"/>
        <v>9</v>
      </c>
      <c r="C36" s="52">
        <f t="shared" si="20"/>
        <v>30</v>
      </c>
      <c r="D36" s="185">
        <f t="shared" si="47"/>
        <v>1</v>
      </c>
      <c r="E36" s="48">
        <f t="shared" si="21"/>
        <v>700</v>
      </c>
      <c r="F36" s="205">
        <f t="shared" si="22"/>
        <v>9</v>
      </c>
      <c r="G36" s="192">
        <f t="shared" si="23"/>
        <v>6300</v>
      </c>
      <c r="I36" s="58">
        <f t="shared" si="24"/>
        <v>9</v>
      </c>
      <c r="J36" s="74">
        <f t="shared" si="25"/>
        <v>30</v>
      </c>
      <c r="K36" s="74">
        <f t="shared" si="3"/>
        <v>9</v>
      </c>
      <c r="L36" s="52">
        <f t="shared" si="26"/>
        <v>4500</v>
      </c>
      <c r="M36" s="74">
        <f t="shared" si="4"/>
        <v>1800</v>
      </c>
      <c r="N36" s="74">
        <f t="shared" si="27"/>
        <v>6300</v>
      </c>
      <c r="O36" s="180">
        <f t="shared" si="28"/>
        <v>700</v>
      </c>
      <c r="Q36" s="58">
        <f t="shared" si="5"/>
        <v>9</v>
      </c>
      <c r="R36" s="52">
        <f t="shared" si="6"/>
        <v>31</v>
      </c>
      <c r="S36" s="52">
        <f t="shared" si="7"/>
        <v>1</v>
      </c>
      <c r="T36" s="54">
        <f t="shared" si="48"/>
        <v>0.1</v>
      </c>
      <c r="U36" s="52">
        <f t="shared" si="8"/>
        <v>1800</v>
      </c>
      <c r="V36" s="52">
        <f t="shared" si="29"/>
        <v>1658.5607268237316</v>
      </c>
      <c r="W36" s="52">
        <f t="shared" si="30"/>
        <v>180</v>
      </c>
      <c r="X36" s="87">
        <f t="shared" si="31"/>
        <v>66.342429072949258</v>
      </c>
      <c r="Y36" s="53">
        <f t="shared" si="32"/>
        <v>1904.9031558966808</v>
      </c>
      <c r="AA36" s="58">
        <f t="shared" si="9"/>
        <v>9</v>
      </c>
      <c r="AB36" s="52">
        <f t="shared" si="10"/>
        <v>31</v>
      </c>
      <c r="AC36" s="52">
        <f t="shared" si="11"/>
        <v>0</v>
      </c>
      <c r="AD36" s="54">
        <f t="shared" si="49"/>
        <v>0.15</v>
      </c>
      <c r="AE36" s="52">
        <f t="shared" si="12"/>
        <v>6300</v>
      </c>
      <c r="AF36" s="52">
        <f t="shared" si="33"/>
        <v>0</v>
      </c>
      <c r="AG36" s="52">
        <f t="shared" si="34"/>
        <v>0</v>
      </c>
      <c r="AH36" s="52">
        <f t="shared" si="13"/>
        <v>0</v>
      </c>
      <c r="AI36" s="53">
        <f t="shared" si="35"/>
        <v>0</v>
      </c>
      <c r="AK36" s="58">
        <f t="shared" si="36"/>
        <v>9</v>
      </c>
      <c r="AL36" s="52">
        <f t="shared" si="36"/>
        <v>31</v>
      </c>
      <c r="AM36" s="52">
        <f t="shared" si="14"/>
        <v>1</v>
      </c>
      <c r="AN36" s="54">
        <f t="shared" si="15"/>
        <v>0.13500000000000001</v>
      </c>
      <c r="AO36" s="54">
        <f t="shared" si="16"/>
        <v>0.18</v>
      </c>
      <c r="AP36" s="207">
        <f t="shared" si="37"/>
        <v>6300</v>
      </c>
      <c r="AQ36" s="52">
        <f t="shared" si="38"/>
        <v>8707.4438158245903</v>
      </c>
      <c r="AR36" s="52">
        <f t="shared" si="39"/>
        <v>945</v>
      </c>
      <c r="AS36" s="48">
        <f t="shared" si="40"/>
        <v>348.29775263298365</v>
      </c>
      <c r="AT36" s="53">
        <f t="shared" si="41"/>
        <v>10000.741568457574</v>
      </c>
      <c r="AV36" s="58">
        <f t="shared" si="17"/>
        <v>9</v>
      </c>
      <c r="AW36" s="52">
        <f t="shared" si="17"/>
        <v>31</v>
      </c>
      <c r="AX36" s="48">
        <v>1</v>
      </c>
      <c r="AY36" s="54">
        <f t="shared" si="18"/>
        <v>0.13500000000000001</v>
      </c>
      <c r="AZ36" s="54">
        <f t="shared" si="19"/>
        <v>0.18</v>
      </c>
      <c r="BA36" s="207">
        <f t="shared" si="42"/>
        <v>6300</v>
      </c>
      <c r="BB36" s="52">
        <f t="shared" si="43"/>
        <v>8707.4438158245903</v>
      </c>
      <c r="BC36" s="48">
        <f t="shared" si="44"/>
        <v>945</v>
      </c>
      <c r="BD36" s="48">
        <f t="shared" si="45"/>
        <v>348.29775263298365</v>
      </c>
      <c r="BE36" s="53">
        <f t="shared" si="46"/>
        <v>10000.741568457574</v>
      </c>
    </row>
    <row r="37" spans="2:57" ht="15.75" thickTop="1" thickBot="1">
      <c r="B37" s="58">
        <f t="shared" si="20"/>
        <v>10</v>
      </c>
      <c r="C37" s="52">
        <f t="shared" si="20"/>
        <v>31</v>
      </c>
      <c r="D37" s="185">
        <f t="shared" si="47"/>
        <v>1</v>
      </c>
      <c r="E37" s="48">
        <f t="shared" si="21"/>
        <v>700</v>
      </c>
      <c r="F37" s="205">
        <f t="shared" si="22"/>
        <v>9</v>
      </c>
      <c r="G37" s="192">
        <f t="shared" si="23"/>
        <v>6300</v>
      </c>
      <c r="I37" s="58">
        <f t="shared" si="24"/>
        <v>10</v>
      </c>
      <c r="J37" s="74">
        <f t="shared" si="25"/>
        <v>31</v>
      </c>
      <c r="K37" s="74">
        <f t="shared" si="3"/>
        <v>9</v>
      </c>
      <c r="L37" s="52">
        <f t="shared" si="26"/>
        <v>4500</v>
      </c>
      <c r="M37" s="74">
        <f t="shared" si="4"/>
        <v>1800</v>
      </c>
      <c r="N37" s="74">
        <f t="shared" si="27"/>
        <v>6300</v>
      </c>
      <c r="O37" s="180">
        <f t="shared" si="28"/>
        <v>700</v>
      </c>
      <c r="Q37" s="58">
        <f t="shared" si="5"/>
        <v>10</v>
      </c>
      <c r="R37" s="52">
        <f t="shared" si="6"/>
        <v>32</v>
      </c>
      <c r="S37" s="52">
        <f t="shared" si="7"/>
        <v>1</v>
      </c>
      <c r="T37" s="54">
        <f t="shared" si="48"/>
        <v>0.1</v>
      </c>
      <c r="U37" s="52">
        <f t="shared" si="8"/>
        <v>1800</v>
      </c>
      <c r="V37" s="52">
        <f t="shared" si="29"/>
        <v>1904.9031558966808</v>
      </c>
      <c r="W37" s="52">
        <f t="shared" si="30"/>
        <v>180</v>
      </c>
      <c r="X37" s="87">
        <f t="shared" si="31"/>
        <v>76.19612623586724</v>
      </c>
      <c r="Y37" s="53">
        <f t="shared" si="32"/>
        <v>2161.0992821325481</v>
      </c>
      <c r="AA37" s="58">
        <f t="shared" si="9"/>
        <v>10</v>
      </c>
      <c r="AB37" s="52">
        <f t="shared" si="10"/>
        <v>32</v>
      </c>
      <c r="AC37" s="52">
        <f t="shared" si="11"/>
        <v>0</v>
      </c>
      <c r="AD37" s="54">
        <f t="shared" si="49"/>
        <v>0.15</v>
      </c>
      <c r="AE37" s="52">
        <f t="shared" si="12"/>
        <v>6300</v>
      </c>
      <c r="AF37" s="52">
        <f t="shared" si="33"/>
        <v>0</v>
      </c>
      <c r="AG37" s="52">
        <f t="shared" si="34"/>
        <v>0</v>
      </c>
      <c r="AH37" s="52">
        <f t="shared" si="13"/>
        <v>0</v>
      </c>
      <c r="AI37" s="53">
        <f t="shared" si="35"/>
        <v>0</v>
      </c>
      <c r="AK37" s="58">
        <f t="shared" si="36"/>
        <v>10</v>
      </c>
      <c r="AL37" s="52">
        <f t="shared" si="36"/>
        <v>32</v>
      </c>
      <c r="AM37" s="52">
        <f t="shared" si="14"/>
        <v>1</v>
      </c>
      <c r="AN37" s="54">
        <f t="shared" si="15"/>
        <v>0.13500000000000001</v>
      </c>
      <c r="AO37" s="54">
        <f t="shared" si="16"/>
        <v>0.18</v>
      </c>
      <c r="AP37" s="207">
        <f t="shared" si="37"/>
        <v>6300</v>
      </c>
      <c r="AQ37" s="52">
        <f t="shared" si="38"/>
        <v>10000.741568457574</v>
      </c>
      <c r="AR37" s="52">
        <f t="shared" si="39"/>
        <v>945</v>
      </c>
      <c r="AS37" s="48">
        <f t="shared" si="40"/>
        <v>400.02966273830293</v>
      </c>
      <c r="AT37" s="53">
        <f t="shared" si="41"/>
        <v>11345.771231195877</v>
      </c>
      <c r="AV37" s="58">
        <f t="shared" si="17"/>
        <v>10</v>
      </c>
      <c r="AW37" s="52">
        <f t="shared" si="17"/>
        <v>32</v>
      </c>
      <c r="AX37" s="48">
        <v>1</v>
      </c>
      <c r="AY37" s="54">
        <f t="shared" si="18"/>
        <v>0.13500000000000001</v>
      </c>
      <c r="AZ37" s="54">
        <f t="shared" si="19"/>
        <v>0.18</v>
      </c>
      <c r="BA37" s="207">
        <f t="shared" si="42"/>
        <v>6300</v>
      </c>
      <c r="BB37" s="52">
        <f t="shared" si="43"/>
        <v>10000.741568457574</v>
      </c>
      <c r="BC37" s="48">
        <f t="shared" si="44"/>
        <v>945</v>
      </c>
      <c r="BD37" s="48">
        <f t="shared" si="45"/>
        <v>400.02966273830293</v>
      </c>
      <c r="BE37" s="53">
        <f t="shared" si="46"/>
        <v>11345.771231195877</v>
      </c>
    </row>
    <row r="38" spans="2:57" ht="15.75" thickTop="1" thickBot="1">
      <c r="B38" s="58">
        <f t="shared" si="20"/>
        <v>11</v>
      </c>
      <c r="C38" s="52">
        <f t="shared" si="20"/>
        <v>32</v>
      </c>
      <c r="D38" s="185">
        <f t="shared" si="47"/>
        <v>1</v>
      </c>
      <c r="E38" s="48">
        <f t="shared" si="21"/>
        <v>700</v>
      </c>
      <c r="F38" s="205">
        <f t="shared" si="22"/>
        <v>9</v>
      </c>
      <c r="G38" s="192">
        <f t="shared" si="23"/>
        <v>6300</v>
      </c>
      <c r="I38" s="58">
        <f t="shared" si="24"/>
        <v>11</v>
      </c>
      <c r="J38" s="74">
        <f t="shared" si="25"/>
        <v>32</v>
      </c>
      <c r="K38" s="74">
        <f t="shared" si="3"/>
        <v>9</v>
      </c>
      <c r="L38" s="52">
        <f t="shared" si="26"/>
        <v>4500</v>
      </c>
      <c r="M38" s="74">
        <f t="shared" si="4"/>
        <v>1800</v>
      </c>
      <c r="N38" s="74">
        <f t="shared" si="27"/>
        <v>6300</v>
      </c>
      <c r="O38" s="180">
        <f t="shared" si="28"/>
        <v>700</v>
      </c>
      <c r="Q38" s="58">
        <f t="shared" si="5"/>
        <v>11</v>
      </c>
      <c r="R38" s="52">
        <f t="shared" si="6"/>
        <v>33</v>
      </c>
      <c r="S38" s="52">
        <f t="shared" si="7"/>
        <v>1</v>
      </c>
      <c r="T38" s="54">
        <f t="shared" si="48"/>
        <v>0.1</v>
      </c>
      <c r="U38" s="52">
        <f t="shared" si="8"/>
        <v>1800</v>
      </c>
      <c r="V38" s="52">
        <f t="shared" si="29"/>
        <v>2161.0992821325481</v>
      </c>
      <c r="W38" s="52">
        <f t="shared" si="30"/>
        <v>180</v>
      </c>
      <c r="X38" s="87">
        <f t="shared" si="31"/>
        <v>86.443971285301927</v>
      </c>
      <c r="Y38" s="53">
        <f t="shared" si="32"/>
        <v>2427.5432534178499</v>
      </c>
      <c r="AA38" s="58">
        <f t="shared" si="9"/>
        <v>11</v>
      </c>
      <c r="AB38" s="52">
        <f t="shared" si="10"/>
        <v>33</v>
      </c>
      <c r="AC38" s="52">
        <f t="shared" si="11"/>
        <v>0</v>
      </c>
      <c r="AD38" s="54">
        <f t="shared" si="49"/>
        <v>0.15</v>
      </c>
      <c r="AE38" s="52">
        <f t="shared" si="12"/>
        <v>6300</v>
      </c>
      <c r="AF38" s="52">
        <f t="shared" si="33"/>
        <v>0</v>
      </c>
      <c r="AG38" s="52">
        <f t="shared" si="34"/>
        <v>0</v>
      </c>
      <c r="AH38" s="52">
        <f t="shared" si="13"/>
        <v>0</v>
      </c>
      <c r="AI38" s="53">
        <f t="shared" si="35"/>
        <v>0</v>
      </c>
      <c r="AK38" s="58">
        <f t="shared" si="36"/>
        <v>11</v>
      </c>
      <c r="AL38" s="52">
        <f t="shared" si="36"/>
        <v>33</v>
      </c>
      <c r="AM38" s="52">
        <f t="shared" si="14"/>
        <v>1</v>
      </c>
      <c r="AN38" s="54">
        <f t="shared" si="15"/>
        <v>0.13500000000000001</v>
      </c>
      <c r="AO38" s="54">
        <f t="shared" si="16"/>
        <v>0.18</v>
      </c>
      <c r="AP38" s="207">
        <f t="shared" si="37"/>
        <v>6300</v>
      </c>
      <c r="AQ38" s="52">
        <f t="shared" si="38"/>
        <v>11345.771231195877</v>
      </c>
      <c r="AR38" s="52">
        <f t="shared" si="39"/>
        <v>945</v>
      </c>
      <c r="AS38" s="48">
        <f t="shared" si="40"/>
        <v>453.83084924783509</v>
      </c>
      <c r="AT38" s="53">
        <f t="shared" si="41"/>
        <v>12744.602080443712</v>
      </c>
      <c r="AV38" s="58">
        <f t="shared" si="17"/>
        <v>11</v>
      </c>
      <c r="AW38" s="52">
        <f t="shared" si="17"/>
        <v>33</v>
      </c>
      <c r="AX38" s="48">
        <v>1</v>
      </c>
      <c r="AY38" s="54">
        <f t="shared" si="18"/>
        <v>0.13500000000000001</v>
      </c>
      <c r="AZ38" s="54">
        <f t="shared" si="19"/>
        <v>0.18</v>
      </c>
      <c r="BA38" s="207">
        <f t="shared" si="42"/>
        <v>6300</v>
      </c>
      <c r="BB38" s="52">
        <f t="shared" si="43"/>
        <v>11345.771231195877</v>
      </c>
      <c r="BC38" s="48">
        <f t="shared" si="44"/>
        <v>945</v>
      </c>
      <c r="BD38" s="48">
        <f t="shared" si="45"/>
        <v>453.83084924783509</v>
      </c>
      <c r="BE38" s="53">
        <f t="shared" si="46"/>
        <v>12744.602080443712</v>
      </c>
    </row>
    <row r="39" spans="2:57" ht="15.75" thickTop="1" thickBot="1">
      <c r="B39" s="58">
        <f t="shared" si="20"/>
        <v>12</v>
      </c>
      <c r="C39" s="52">
        <f t="shared" si="20"/>
        <v>33</v>
      </c>
      <c r="D39" s="185">
        <f t="shared" si="47"/>
        <v>1</v>
      </c>
      <c r="E39" s="48">
        <f t="shared" si="21"/>
        <v>700</v>
      </c>
      <c r="F39" s="205">
        <f t="shared" si="22"/>
        <v>9</v>
      </c>
      <c r="G39" s="192">
        <f t="shared" si="23"/>
        <v>6300</v>
      </c>
      <c r="I39" s="58">
        <f t="shared" si="24"/>
        <v>12</v>
      </c>
      <c r="J39" s="74">
        <f t="shared" si="25"/>
        <v>33</v>
      </c>
      <c r="K39" s="74">
        <f t="shared" si="3"/>
        <v>9</v>
      </c>
      <c r="L39" s="52">
        <f t="shared" si="26"/>
        <v>4500</v>
      </c>
      <c r="M39" s="74">
        <f t="shared" si="4"/>
        <v>1800</v>
      </c>
      <c r="N39" s="74">
        <f t="shared" si="27"/>
        <v>6300</v>
      </c>
      <c r="O39" s="180">
        <f t="shared" si="28"/>
        <v>700</v>
      </c>
      <c r="Q39" s="58">
        <f t="shared" si="5"/>
        <v>12</v>
      </c>
      <c r="R39" s="52">
        <f t="shared" si="6"/>
        <v>34</v>
      </c>
      <c r="S39" s="52">
        <f t="shared" si="7"/>
        <v>1</v>
      </c>
      <c r="T39" s="54">
        <f t="shared" si="48"/>
        <v>0.1</v>
      </c>
      <c r="U39" s="52">
        <f t="shared" si="8"/>
        <v>1800</v>
      </c>
      <c r="V39" s="52">
        <f t="shared" si="29"/>
        <v>2427.5432534178499</v>
      </c>
      <c r="W39" s="52">
        <f t="shared" si="30"/>
        <v>180</v>
      </c>
      <c r="X39" s="87">
        <f t="shared" si="31"/>
        <v>97.101730136713996</v>
      </c>
      <c r="Y39" s="53">
        <f t="shared" si="32"/>
        <v>2704.6449835545641</v>
      </c>
      <c r="AA39" s="58">
        <f t="shared" si="9"/>
        <v>12</v>
      </c>
      <c r="AB39" s="52">
        <f t="shared" si="10"/>
        <v>34</v>
      </c>
      <c r="AC39" s="52">
        <f t="shared" si="11"/>
        <v>0</v>
      </c>
      <c r="AD39" s="54">
        <f t="shared" si="49"/>
        <v>0.15</v>
      </c>
      <c r="AE39" s="52">
        <f t="shared" si="12"/>
        <v>6300</v>
      </c>
      <c r="AF39" s="52">
        <f t="shared" si="33"/>
        <v>0</v>
      </c>
      <c r="AG39" s="52">
        <f t="shared" si="34"/>
        <v>0</v>
      </c>
      <c r="AH39" s="52">
        <f t="shared" si="13"/>
        <v>0</v>
      </c>
      <c r="AI39" s="53">
        <f t="shared" si="35"/>
        <v>0</v>
      </c>
      <c r="AK39" s="58">
        <f t="shared" si="36"/>
        <v>12</v>
      </c>
      <c r="AL39" s="52">
        <f t="shared" si="36"/>
        <v>34</v>
      </c>
      <c r="AM39" s="52">
        <f t="shared" si="14"/>
        <v>1</v>
      </c>
      <c r="AN39" s="54">
        <f t="shared" si="15"/>
        <v>0.13500000000000001</v>
      </c>
      <c r="AO39" s="54">
        <f t="shared" si="16"/>
        <v>0.18</v>
      </c>
      <c r="AP39" s="207">
        <f t="shared" si="37"/>
        <v>6300</v>
      </c>
      <c r="AQ39" s="52">
        <f t="shared" si="38"/>
        <v>12744.602080443712</v>
      </c>
      <c r="AR39" s="52">
        <f t="shared" si="39"/>
        <v>945</v>
      </c>
      <c r="AS39" s="48">
        <f t="shared" si="40"/>
        <v>509.7840832177485</v>
      </c>
      <c r="AT39" s="53">
        <f t="shared" si="41"/>
        <v>14199.38616366146</v>
      </c>
      <c r="AV39" s="58">
        <f t="shared" si="17"/>
        <v>12</v>
      </c>
      <c r="AW39" s="52">
        <f t="shared" si="17"/>
        <v>34</v>
      </c>
      <c r="AX39" s="48">
        <v>1</v>
      </c>
      <c r="AY39" s="54">
        <f t="shared" si="18"/>
        <v>0.13500000000000001</v>
      </c>
      <c r="AZ39" s="54">
        <f t="shared" si="19"/>
        <v>0.18</v>
      </c>
      <c r="BA39" s="207">
        <f t="shared" si="42"/>
        <v>6300</v>
      </c>
      <c r="BB39" s="52">
        <f t="shared" si="43"/>
        <v>12744.602080443712</v>
      </c>
      <c r="BC39" s="48">
        <f t="shared" si="44"/>
        <v>945</v>
      </c>
      <c r="BD39" s="48">
        <f t="shared" si="45"/>
        <v>509.7840832177485</v>
      </c>
      <c r="BE39" s="53">
        <f t="shared" si="46"/>
        <v>14199.38616366146</v>
      </c>
    </row>
    <row r="40" spans="2:57" ht="15.75" thickTop="1" thickBot="1">
      <c r="B40" s="58">
        <f t="shared" si="20"/>
        <v>13</v>
      </c>
      <c r="C40" s="52">
        <f t="shared" si="20"/>
        <v>34</v>
      </c>
      <c r="D40" s="185">
        <f t="shared" si="47"/>
        <v>1</v>
      </c>
      <c r="E40" s="48">
        <f t="shared" si="21"/>
        <v>700</v>
      </c>
      <c r="F40" s="205">
        <f t="shared" si="22"/>
        <v>9</v>
      </c>
      <c r="G40" s="192">
        <f t="shared" si="23"/>
        <v>6300</v>
      </c>
      <c r="I40" s="58">
        <f t="shared" si="24"/>
        <v>13</v>
      </c>
      <c r="J40" s="74">
        <f t="shared" si="25"/>
        <v>34</v>
      </c>
      <c r="K40" s="74">
        <f t="shared" si="3"/>
        <v>9</v>
      </c>
      <c r="L40" s="52">
        <f t="shared" si="26"/>
        <v>4500</v>
      </c>
      <c r="M40" s="74">
        <f t="shared" si="4"/>
        <v>1800</v>
      </c>
      <c r="N40" s="74">
        <f t="shared" si="27"/>
        <v>6300</v>
      </c>
      <c r="O40" s="180">
        <f t="shared" si="28"/>
        <v>700</v>
      </c>
      <c r="Q40" s="58">
        <f t="shared" si="5"/>
        <v>13</v>
      </c>
      <c r="R40" s="52">
        <f t="shared" si="6"/>
        <v>35</v>
      </c>
      <c r="S40" s="52">
        <f t="shared" si="7"/>
        <v>1</v>
      </c>
      <c r="T40" s="54">
        <f t="shared" si="48"/>
        <v>0.1</v>
      </c>
      <c r="U40" s="52">
        <f t="shared" si="8"/>
        <v>1800</v>
      </c>
      <c r="V40" s="52">
        <f t="shared" si="29"/>
        <v>2704.6449835545641</v>
      </c>
      <c r="W40" s="52">
        <f t="shared" si="30"/>
        <v>180</v>
      </c>
      <c r="X40" s="87">
        <f t="shared" si="31"/>
        <v>108.18579934218256</v>
      </c>
      <c r="Y40" s="53">
        <f t="shared" si="32"/>
        <v>2992.8307828967468</v>
      </c>
      <c r="AA40" s="58">
        <f t="shared" si="9"/>
        <v>13</v>
      </c>
      <c r="AB40" s="52">
        <f t="shared" si="10"/>
        <v>35</v>
      </c>
      <c r="AC40" s="52">
        <f t="shared" si="11"/>
        <v>0</v>
      </c>
      <c r="AD40" s="54">
        <f t="shared" si="49"/>
        <v>0.15</v>
      </c>
      <c r="AE40" s="52">
        <f t="shared" si="12"/>
        <v>6300</v>
      </c>
      <c r="AF40" s="52">
        <f t="shared" si="33"/>
        <v>0</v>
      </c>
      <c r="AG40" s="52">
        <f t="shared" si="34"/>
        <v>0</v>
      </c>
      <c r="AH40" s="52">
        <f t="shared" si="13"/>
        <v>0</v>
      </c>
      <c r="AI40" s="53">
        <f t="shared" si="35"/>
        <v>0</v>
      </c>
      <c r="AK40" s="58">
        <f t="shared" si="36"/>
        <v>13</v>
      </c>
      <c r="AL40" s="52">
        <f t="shared" si="36"/>
        <v>35</v>
      </c>
      <c r="AM40" s="52">
        <f t="shared" si="14"/>
        <v>1</v>
      </c>
      <c r="AN40" s="54">
        <f t="shared" si="15"/>
        <v>0.13500000000000001</v>
      </c>
      <c r="AO40" s="54">
        <f t="shared" si="16"/>
        <v>0.18</v>
      </c>
      <c r="AP40" s="207">
        <f t="shared" si="37"/>
        <v>6300</v>
      </c>
      <c r="AQ40" s="52">
        <f t="shared" si="38"/>
        <v>14199.38616366146</v>
      </c>
      <c r="AR40" s="52">
        <f t="shared" si="39"/>
        <v>945</v>
      </c>
      <c r="AS40" s="48">
        <f t="shared" si="40"/>
        <v>567.97544654645844</v>
      </c>
      <c r="AT40" s="53">
        <f t="shared" si="41"/>
        <v>15712.361610207918</v>
      </c>
      <c r="AV40" s="58">
        <f t="shared" si="17"/>
        <v>13</v>
      </c>
      <c r="AW40" s="52">
        <f t="shared" si="17"/>
        <v>35</v>
      </c>
      <c r="AX40" s="48">
        <v>1</v>
      </c>
      <c r="AY40" s="54">
        <f t="shared" si="18"/>
        <v>0.13500000000000001</v>
      </c>
      <c r="AZ40" s="54">
        <f t="shared" si="19"/>
        <v>0.18</v>
      </c>
      <c r="BA40" s="207">
        <f t="shared" si="42"/>
        <v>6300</v>
      </c>
      <c r="BB40" s="52">
        <f t="shared" si="43"/>
        <v>14199.38616366146</v>
      </c>
      <c r="BC40" s="48">
        <f t="shared" si="44"/>
        <v>945</v>
      </c>
      <c r="BD40" s="48">
        <f t="shared" si="45"/>
        <v>567.97544654645844</v>
      </c>
      <c r="BE40" s="53">
        <f t="shared" si="46"/>
        <v>15712.361610207918</v>
      </c>
    </row>
    <row r="41" spans="2:57" ht="15.75" thickTop="1" thickBot="1">
      <c r="B41" s="58">
        <f t="shared" si="20"/>
        <v>14</v>
      </c>
      <c r="C41" s="52">
        <f t="shared" si="20"/>
        <v>35</v>
      </c>
      <c r="D41" s="185">
        <f t="shared" si="47"/>
        <v>1</v>
      </c>
      <c r="E41" s="48">
        <f t="shared" si="21"/>
        <v>700</v>
      </c>
      <c r="F41" s="205">
        <f t="shared" si="22"/>
        <v>9</v>
      </c>
      <c r="G41" s="192">
        <f t="shared" si="23"/>
        <v>6300</v>
      </c>
      <c r="I41" s="58">
        <f t="shared" si="24"/>
        <v>14</v>
      </c>
      <c r="J41" s="74">
        <f t="shared" si="25"/>
        <v>35</v>
      </c>
      <c r="K41" s="74">
        <f t="shared" si="3"/>
        <v>9</v>
      </c>
      <c r="L41" s="52">
        <f t="shared" si="26"/>
        <v>4500</v>
      </c>
      <c r="M41" s="74">
        <f t="shared" si="4"/>
        <v>1800</v>
      </c>
      <c r="N41" s="74">
        <f t="shared" si="27"/>
        <v>6300</v>
      </c>
      <c r="O41" s="180">
        <f t="shared" si="28"/>
        <v>700</v>
      </c>
      <c r="Q41" s="58">
        <f t="shared" si="5"/>
        <v>14</v>
      </c>
      <c r="R41" s="52">
        <f t="shared" si="6"/>
        <v>36</v>
      </c>
      <c r="S41" s="52">
        <f t="shared" si="7"/>
        <v>1</v>
      </c>
      <c r="T41" s="54">
        <f t="shared" si="48"/>
        <v>0.1</v>
      </c>
      <c r="U41" s="52">
        <f t="shared" si="8"/>
        <v>1800</v>
      </c>
      <c r="V41" s="52">
        <f t="shared" si="29"/>
        <v>2992.8307828967468</v>
      </c>
      <c r="W41" s="52">
        <f t="shared" si="30"/>
        <v>180</v>
      </c>
      <c r="X41" s="87">
        <f t="shared" si="31"/>
        <v>119.71323131586988</v>
      </c>
      <c r="Y41" s="53">
        <f t="shared" si="32"/>
        <v>3292.5440142126167</v>
      </c>
      <c r="AA41" s="58">
        <f t="shared" si="9"/>
        <v>14</v>
      </c>
      <c r="AB41" s="52">
        <f t="shared" si="10"/>
        <v>36</v>
      </c>
      <c r="AC41" s="52">
        <f t="shared" si="11"/>
        <v>0</v>
      </c>
      <c r="AD41" s="54">
        <f t="shared" si="49"/>
        <v>0.15</v>
      </c>
      <c r="AE41" s="52">
        <f t="shared" si="12"/>
        <v>6300</v>
      </c>
      <c r="AF41" s="52">
        <f t="shared" si="33"/>
        <v>0</v>
      </c>
      <c r="AG41" s="52">
        <f t="shared" si="34"/>
        <v>0</v>
      </c>
      <c r="AH41" s="52">
        <f t="shared" si="13"/>
        <v>0</v>
      </c>
      <c r="AI41" s="53">
        <f t="shared" si="35"/>
        <v>0</v>
      </c>
      <c r="AK41" s="58">
        <f t="shared" si="36"/>
        <v>14</v>
      </c>
      <c r="AL41" s="52">
        <f t="shared" si="36"/>
        <v>36</v>
      </c>
      <c r="AM41" s="52">
        <f t="shared" si="14"/>
        <v>1</v>
      </c>
      <c r="AN41" s="54">
        <f t="shared" si="15"/>
        <v>0.13500000000000001</v>
      </c>
      <c r="AO41" s="54">
        <f t="shared" si="16"/>
        <v>0.18</v>
      </c>
      <c r="AP41" s="207">
        <f t="shared" si="37"/>
        <v>6300</v>
      </c>
      <c r="AQ41" s="52">
        <f t="shared" si="38"/>
        <v>15712.361610207918</v>
      </c>
      <c r="AR41" s="52">
        <f t="shared" si="39"/>
        <v>945</v>
      </c>
      <c r="AS41" s="48">
        <f t="shared" si="40"/>
        <v>628.49446440831673</v>
      </c>
      <c r="AT41" s="53">
        <f t="shared" si="41"/>
        <v>17285.856074616233</v>
      </c>
      <c r="AV41" s="58">
        <f t="shared" si="17"/>
        <v>14</v>
      </c>
      <c r="AW41" s="52">
        <f t="shared" si="17"/>
        <v>36</v>
      </c>
      <c r="AX41" s="48">
        <v>1</v>
      </c>
      <c r="AY41" s="54">
        <f t="shared" si="18"/>
        <v>0.13500000000000001</v>
      </c>
      <c r="AZ41" s="54">
        <f t="shared" si="19"/>
        <v>0.18</v>
      </c>
      <c r="BA41" s="207">
        <f t="shared" si="42"/>
        <v>6300</v>
      </c>
      <c r="BB41" s="52">
        <f t="shared" si="43"/>
        <v>15712.361610207918</v>
      </c>
      <c r="BC41" s="48">
        <f t="shared" si="44"/>
        <v>945</v>
      </c>
      <c r="BD41" s="48">
        <f t="shared" si="45"/>
        <v>628.49446440831673</v>
      </c>
      <c r="BE41" s="53">
        <f t="shared" si="46"/>
        <v>17285.856074616233</v>
      </c>
    </row>
    <row r="42" spans="2:57" ht="15.75" thickTop="1" thickBot="1">
      <c r="B42" s="58">
        <f t="shared" si="20"/>
        <v>15</v>
      </c>
      <c r="C42" s="52">
        <f t="shared" si="20"/>
        <v>36</v>
      </c>
      <c r="D42" s="185">
        <f t="shared" si="47"/>
        <v>1</v>
      </c>
      <c r="E42" s="48">
        <f t="shared" si="21"/>
        <v>700</v>
      </c>
      <c r="F42" s="205">
        <f t="shared" si="22"/>
        <v>9</v>
      </c>
      <c r="G42" s="192">
        <f t="shared" si="23"/>
        <v>6300</v>
      </c>
      <c r="I42" s="58">
        <f t="shared" si="24"/>
        <v>15</v>
      </c>
      <c r="J42" s="74">
        <f t="shared" si="25"/>
        <v>36</v>
      </c>
      <c r="K42" s="74">
        <f t="shared" si="3"/>
        <v>9</v>
      </c>
      <c r="L42" s="52">
        <f t="shared" si="26"/>
        <v>4500</v>
      </c>
      <c r="M42" s="74">
        <f t="shared" si="4"/>
        <v>1800</v>
      </c>
      <c r="N42" s="74">
        <f t="shared" si="27"/>
        <v>6300</v>
      </c>
      <c r="O42" s="180">
        <f t="shared" si="28"/>
        <v>700</v>
      </c>
      <c r="Q42" s="58">
        <f t="shared" si="5"/>
        <v>15</v>
      </c>
      <c r="R42" s="52">
        <f t="shared" si="6"/>
        <v>37</v>
      </c>
      <c r="S42" s="52">
        <f t="shared" si="7"/>
        <v>1</v>
      </c>
      <c r="T42" s="54">
        <f t="shared" si="48"/>
        <v>0.1</v>
      </c>
      <c r="U42" s="52">
        <f t="shared" si="8"/>
        <v>1800</v>
      </c>
      <c r="V42" s="52">
        <f t="shared" si="29"/>
        <v>3292.5440142126167</v>
      </c>
      <c r="W42" s="52">
        <f t="shared" si="30"/>
        <v>180</v>
      </c>
      <c r="X42" s="87">
        <f t="shared" si="31"/>
        <v>131.70176056850468</v>
      </c>
      <c r="Y42" s="53">
        <f t="shared" si="32"/>
        <v>3604.2457747811213</v>
      </c>
      <c r="AA42" s="58">
        <f t="shared" si="9"/>
        <v>15</v>
      </c>
      <c r="AB42" s="52">
        <f t="shared" si="10"/>
        <v>37</v>
      </c>
      <c r="AC42" s="52">
        <f t="shared" si="11"/>
        <v>0</v>
      </c>
      <c r="AD42" s="54">
        <f t="shared" si="49"/>
        <v>0.15</v>
      </c>
      <c r="AE42" s="52">
        <f t="shared" si="12"/>
        <v>6300</v>
      </c>
      <c r="AF42" s="52">
        <f t="shared" si="33"/>
        <v>0</v>
      </c>
      <c r="AG42" s="52">
        <f t="shared" si="34"/>
        <v>0</v>
      </c>
      <c r="AH42" s="52">
        <f t="shared" si="13"/>
        <v>0</v>
      </c>
      <c r="AI42" s="53">
        <f t="shared" si="35"/>
        <v>0</v>
      </c>
      <c r="AK42" s="58">
        <f t="shared" si="36"/>
        <v>15</v>
      </c>
      <c r="AL42" s="52">
        <f t="shared" si="36"/>
        <v>37</v>
      </c>
      <c r="AM42" s="52">
        <f t="shared" si="14"/>
        <v>1</v>
      </c>
      <c r="AN42" s="54">
        <f t="shared" si="15"/>
        <v>0.13500000000000001</v>
      </c>
      <c r="AO42" s="54">
        <f t="shared" si="16"/>
        <v>0.18</v>
      </c>
      <c r="AP42" s="207">
        <f t="shared" si="37"/>
        <v>6300</v>
      </c>
      <c r="AQ42" s="52">
        <f t="shared" si="38"/>
        <v>17285.856074616233</v>
      </c>
      <c r="AR42" s="52">
        <f t="shared" si="39"/>
        <v>945</v>
      </c>
      <c r="AS42" s="48">
        <f t="shared" si="40"/>
        <v>691.43424298464936</v>
      </c>
      <c r="AT42" s="53">
        <f t="shared" si="41"/>
        <v>18922.290317600884</v>
      </c>
      <c r="AV42" s="58">
        <f t="shared" si="17"/>
        <v>15</v>
      </c>
      <c r="AW42" s="52">
        <f t="shared" si="17"/>
        <v>37</v>
      </c>
      <c r="AX42" s="48">
        <v>1</v>
      </c>
      <c r="AY42" s="54">
        <f t="shared" si="18"/>
        <v>0.13500000000000001</v>
      </c>
      <c r="AZ42" s="54">
        <f t="shared" si="19"/>
        <v>0.18</v>
      </c>
      <c r="BA42" s="207">
        <f t="shared" si="42"/>
        <v>6300</v>
      </c>
      <c r="BB42" s="52">
        <f t="shared" si="43"/>
        <v>17285.856074616233</v>
      </c>
      <c r="BC42" s="48">
        <f t="shared" si="44"/>
        <v>945</v>
      </c>
      <c r="BD42" s="48">
        <f t="shared" si="45"/>
        <v>691.43424298464936</v>
      </c>
      <c r="BE42" s="53">
        <f t="shared" si="46"/>
        <v>18922.290317600884</v>
      </c>
    </row>
    <row r="43" spans="2:57" ht="15.75" thickTop="1" thickBot="1">
      <c r="B43" s="58">
        <f t="shared" si="20"/>
        <v>16</v>
      </c>
      <c r="C43" s="52">
        <f t="shared" si="20"/>
        <v>37</v>
      </c>
      <c r="D43" s="185">
        <f t="shared" si="47"/>
        <v>1</v>
      </c>
      <c r="E43" s="48">
        <f t="shared" si="21"/>
        <v>700</v>
      </c>
      <c r="F43" s="205">
        <f t="shared" si="22"/>
        <v>9</v>
      </c>
      <c r="G43" s="192">
        <f t="shared" si="23"/>
        <v>6300</v>
      </c>
      <c r="I43" s="58">
        <f t="shared" si="24"/>
        <v>16</v>
      </c>
      <c r="J43" s="74">
        <f t="shared" si="25"/>
        <v>37</v>
      </c>
      <c r="K43" s="74">
        <f t="shared" si="3"/>
        <v>9</v>
      </c>
      <c r="L43" s="52">
        <f t="shared" si="26"/>
        <v>4500</v>
      </c>
      <c r="M43" s="74">
        <f t="shared" si="4"/>
        <v>1800</v>
      </c>
      <c r="N43" s="74">
        <f t="shared" si="27"/>
        <v>6300</v>
      </c>
      <c r="O43" s="180">
        <f t="shared" si="28"/>
        <v>700</v>
      </c>
      <c r="Q43" s="58">
        <f t="shared" si="5"/>
        <v>16</v>
      </c>
      <c r="R43" s="52">
        <f t="shared" si="6"/>
        <v>38</v>
      </c>
      <c r="S43" s="52">
        <f t="shared" si="7"/>
        <v>1</v>
      </c>
      <c r="T43" s="54">
        <f t="shared" si="48"/>
        <v>0.1</v>
      </c>
      <c r="U43" s="52">
        <f t="shared" si="8"/>
        <v>1800</v>
      </c>
      <c r="V43" s="52">
        <f t="shared" si="29"/>
        <v>3604.2457747811213</v>
      </c>
      <c r="W43" s="52">
        <f t="shared" si="30"/>
        <v>180</v>
      </c>
      <c r="X43" s="87">
        <f t="shared" si="31"/>
        <v>144.16983099124485</v>
      </c>
      <c r="Y43" s="53">
        <f t="shared" si="32"/>
        <v>3928.4156057723662</v>
      </c>
      <c r="AA43" s="58">
        <f t="shared" si="9"/>
        <v>16</v>
      </c>
      <c r="AB43" s="52">
        <f t="shared" si="10"/>
        <v>38</v>
      </c>
      <c r="AC43" s="52">
        <f t="shared" si="11"/>
        <v>0</v>
      </c>
      <c r="AD43" s="54">
        <f t="shared" si="49"/>
        <v>0.15</v>
      </c>
      <c r="AE43" s="52">
        <f t="shared" si="12"/>
        <v>6300</v>
      </c>
      <c r="AF43" s="52">
        <f t="shared" si="33"/>
        <v>0</v>
      </c>
      <c r="AG43" s="52">
        <f t="shared" si="34"/>
        <v>0</v>
      </c>
      <c r="AH43" s="52">
        <f t="shared" si="13"/>
        <v>0</v>
      </c>
      <c r="AI43" s="53">
        <f t="shared" si="35"/>
        <v>0</v>
      </c>
      <c r="AK43" s="58">
        <f t="shared" si="36"/>
        <v>16</v>
      </c>
      <c r="AL43" s="52">
        <f t="shared" si="36"/>
        <v>38</v>
      </c>
      <c r="AM43" s="52">
        <f t="shared" si="14"/>
        <v>1</v>
      </c>
      <c r="AN43" s="54">
        <f t="shared" si="15"/>
        <v>0.13500000000000001</v>
      </c>
      <c r="AO43" s="54">
        <f t="shared" si="16"/>
        <v>0.18</v>
      </c>
      <c r="AP43" s="207">
        <f t="shared" si="37"/>
        <v>6300</v>
      </c>
      <c r="AQ43" s="52">
        <f t="shared" si="38"/>
        <v>18922.290317600884</v>
      </c>
      <c r="AR43" s="52">
        <f t="shared" si="39"/>
        <v>945</v>
      </c>
      <c r="AS43" s="48">
        <f t="shared" si="40"/>
        <v>756.89161270403542</v>
      </c>
      <c r="AT43" s="53">
        <f t="shared" si="41"/>
        <v>20624.18193030492</v>
      </c>
      <c r="AV43" s="58">
        <f t="shared" si="17"/>
        <v>16</v>
      </c>
      <c r="AW43" s="52">
        <f t="shared" si="17"/>
        <v>38</v>
      </c>
      <c r="AX43" s="48">
        <v>1</v>
      </c>
      <c r="AY43" s="54">
        <f t="shared" si="18"/>
        <v>0.13500000000000001</v>
      </c>
      <c r="AZ43" s="54">
        <f t="shared" si="19"/>
        <v>0.18</v>
      </c>
      <c r="BA43" s="207">
        <f t="shared" si="42"/>
        <v>6300</v>
      </c>
      <c r="BB43" s="52">
        <f t="shared" si="43"/>
        <v>18922.290317600884</v>
      </c>
      <c r="BC43" s="48">
        <f t="shared" si="44"/>
        <v>945</v>
      </c>
      <c r="BD43" s="48">
        <f t="shared" si="45"/>
        <v>756.89161270403542</v>
      </c>
      <c r="BE43" s="53">
        <f t="shared" si="46"/>
        <v>20624.18193030492</v>
      </c>
    </row>
    <row r="44" spans="2:57" ht="15.75" thickTop="1" thickBot="1">
      <c r="B44" s="58">
        <f t="shared" si="20"/>
        <v>17</v>
      </c>
      <c r="C44" s="52">
        <f t="shared" si="20"/>
        <v>38</v>
      </c>
      <c r="D44" s="185">
        <f t="shared" si="47"/>
        <v>1</v>
      </c>
      <c r="E44" s="48">
        <f t="shared" si="21"/>
        <v>700</v>
      </c>
      <c r="F44" s="205">
        <f t="shared" si="22"/>
        <v>9</v>
      </c>
      <c r="G44" s="192">
        <f t="shared" si="23"/>
        <v>6300</v>
      </c>
      <c r="I44" s="58">
        <f t="shared" si="24"/>
        <v>17</v>
      </c>
      <c r="J44" s="74">
        <f t="shared" si="25"/>
        <v>38</v>
      </c>
      <c r="K44" s="74">
        <f t="shared" si="3"/>
        <v>9</v>
      </c>
      <c r="L44" s="52">
        <f t="shared" si="26"/>
        <v>4500</v>
      </c>
      <c r="M44" s="74">
        <f t="shared" si="4"/>
        <v>1800</v>
      </c>
      <c r="N44" s="74">
        <f t="shared" si="27"/>
        <v>6300</v>
      </c>
      <c r="O44" s="180">
        <f t="shared" si="28"/>
        <v>700</v>
      </c>
      <c r="Q44" s="58">
        <f t="shared" si="5"/>
        <v>17</v>
      </c>
      <c r="R44" s="52">
        <f t="shared" si="6"/>
        <v>39</v>
      </c>
      <c r="S44" s="52">
        <f t="shared" si="7"/>
        <v>1</v>
      </c>
      <c r="T44" s="54">
        <f t="shared" si="48"/>
        <v>0.1</v>
      </c>
      <c r="U44" s="52">
        <f t="shared" si="8"/>
        <v>1800</v>
      </c>
      <c r="V44" s="52">
        <f t="shared" si="29"/>
        <v>3928.4156057723662</v>
      </c>
      <c r="W44" s="52">
        <f t="shared" si="30"/>
        <v>180</v>
      </c>
      <c r="X44" s="87">
        <f t="shared" si="31"/>
        <v>157.13662423089465</v>
      </c>
      <c r="Y44" s="53">
        <f t="shared" si="32"/>
        <v>4265.5522300032617</v>
      </c>
      <c r="AA44" s="58">
        <f t="shared" si="9"/>
        <v>17</v>
      </c>
      <c r="AB44" s="52">
        <f t="shared" si="10"/>
        <v>39</v>
      </c>
      <c r="AC44" s="52">
        <f t="shared" si="11"/>
        <v>0</v>
      </c>
      <c r="AD44" s="54">
        <f t="shared" si="49"/>
        <v>0.15</v>
      </c>
      <c r="AE44" s="52">
        <f t="shared" si="12"/>
        <v>6300</v>
      </c>
      <c r="AF44" s="52">
        <f t="shared" si="33"/>
        <v>0</v>
      </c>
      <c r="AG44" s="52">
        <f t="shared" si="34"/>
        <v>0</v>
      </c>
      <c r="AH44" s="52">
        <f t="shared" si="13"/>
        <v>0</v>
      </c>
      <c r="AI44" s="53">
        <f t="shared" si="35"/>
        <v>0</v>
      </c>
      <c r="AK44" s="58">
        <f t="shared" si="36"/>
        <v>17</v>
      </c>
      <c r="AL44" s="52">
        <f t="shared" si="36"/>
        <v>39</v>
      </c>
      <c r="AM44" s="52">
        <f t="shared" si="14"/>
        <v>1</v>
      </c>
      <c r="AN44" s="54">
        <f t="shared" si="15"/>
        <v>0.13500000000000001</v>
      </c>
      <c r="AO44" s="54">
        <f t="shared" si="16"/>
        <v>0.18</v>
      </c>
      <c r="AP44" s="207">
        <f t="shared" si="37"/>
        <v>6300</v>
      </c>
      <c r="AQ44" s="52">
        <f t="shared" si="38"/>
        <v>20624.18193030492</v>
      </c>
      <c r="AR44" s="52">
        <f t="shared" si="39"/>
        <v>945</v>
      </c>
      <c r="AS44" s="48">
        <f t="shared" si="40"/>
        <v>824.96727721219679</v>
      </c>
      <c r="AT44" s="53">
        <f t="shared" si="41"/>
        <v>22394.149207517115</v>
      </c>
      <c r="AV44" s="58">
        <f t="shared" si="17"/>
        <v>17</v>
      </c>
      <c r="AW44" s="52">
        <f t="shared" si="17"/>
        <v>39</v>
      </c>
      <c r="AX44" s="48">
        <v>1</v>
      </c>
      <c r="AY44" s="54">
        <f t="shared" si="18"/>
        <v>0.13500000000000001</v>
      </c>
      <c r="AZ44" s="54">
        <f t="shared" si="19"/>
        <v>0.18</v>
      </c>
      <c r="BA44" s="207">
        <f t="shared" si="42"/>
        <v>6300</v>
      </c>
      <c r="BB44" s="52">
        <f t="shared" si="43"/>
        <v>20624.18193030492</v>
      </c>
      <c r="BC44" s="48">
        <f t="shared" si="44"/>
        <v>945</v>
      </c>
      <c r="BD44" s="48">
        <f t="shared" si="45"/>
        <v>824.96727721219679</v>
      </c>
      <c r="BE44" s="53">
        <f t="shared" si="46"/>
        <v>22394.149207517115</v>
      </c>
    </row>
    <row r="45" spans="2:57" ht="15.75" thickTop="1" thickBot="1">
      <c r="B45" s="124">
        <f t="shared" ref="B45:C60" si="50">+B44+1</f>
        <v>18</v>
      </c>
      <c r="C45" s="125">
        <f t="shared" si="50"/>
        <v>39</v>
      </c>
      <c r="D45" s="185">
        <f t="shared" si="47"/>
        <v>1</v>
      </c>
      <c r="E45" s="48">
        <f t="shared" si="21"/>
        <v>700</v>
      </c>
      <c r="F45" s="205">
        <f t="shared" si="22"/>
        <v>9</v>
      </c>
      <c r="G45" s="192">
        <f t="shared" si="23"/>
        <v>6300</v>
      </c>
      <c r="I45" s="124">
        <f t="shared" si="24"/>
        <v>18</v>
      </c>
      <c r="J45" s="129">
        <f t="shared" si="25"/>
        <v>39</v>
      </c>
      <c r="K45" s="129">
        <f t="shared" si="3"/>
        <v>9</v>
      </c>
      <c r="L45" s="125">
        <f t="shared" si="26"/>
        <v>4500</v>
      </c>
      <c r="M45" s="129">
        <f t="shared" si="4"/>
        <v>1800</v>
      </c>
      <c r="N45" s="74">
        <f t="shared" si="27"/>
        <v>6300</v>
      </c>
      <c r="O45" s="180">
        <f t="shared" si="28"/>
        <v>700</v>
      </c>
      <c r="Q45" s="124">
        <f t="shared" si="5"/>
        <v>18</v>
      </c>
      <c r="R45" s="125">
        <f t="shared" si="6"/>
        <v>40</v>
      </c>
      <c r="S45" s="125">
        <f t="shared" si="7"/>
        <v>1</v>
      </c>
      <c r="T45" s="126">
        <f t="shared" si="48"/>
        <v>0.1</v>
      </c>
      <c r="U45" s="125">
        <f t="shared" si="8"/>
        <v>1800</v>
      </c>
      <c r="V45" s="125">
        <f t="shared" si="29"/>
        <v>4265.5522300032617</v>
      </c>
      <c r="W45" s="125">
        <f t="shared" si="30"/>
        <v>180</v>
      </c>
      <c r="X45" s="87">
        <f t="shared" si="31"/>
        <v>170.62208920013046</v>
      </c>
      <c r="Y45" s="128">
        <f t="shared" si="32"/>
        <v>4616.1743192033919</v>
      </c>
      <c r="AA45" s="124">
        <f t="shared" si="9"/>
        <v>18</v>
      </c>
      <c r="AB45" s="125">
        <f t="shared" si="10"/>
        <v>40</v>
      </c>
      <c r="AC45" s="125">
        <f t="shared" si="11"/>
        <v>0</v>
      </c>
      <c r="AD45" s="126">
        <f t="shared" si="49"/>
        <v>0.15</v>
      </c>
      <c r="AE45" s="125">
        <f t="shared" si="12"/>
        <v>6300</v>
      </c>
      <c r="AF45" s="125">
        <f t="shared" si="33"/>
        <v>0</v>
      </c>
      <c r="AG45" s="125">
        <f t="shared" si="34"/>
        <v>0</v>
      </c>
      <c r="AH45" s="125">
        <f t="shared" si="13"/>
        <v>0</v>
      </c>
      <c r="AI45" s="128">
        <f t="shared" si="35"/>
        <v>0</v>
      </c>
      <c r="AK45" s="124">
        <f t="shared" si="36"/>
        <v>18</v>
      </c>
      <c r="AL45" s="125">
        <f t="shared" si="36"/>
        <v>40</v>
      </c>
      <c r="AM45" s="125">
        <f t="shared" si="14"/>
        <v>1</v>
      </c>
      <c r="AN45" s="126">
        <f t="shared" si="15"/>
        <v>0.13500000000000001</v>
      </c>
      <c r="AO45" s="126">
        <f t="shared" si="16"/>
        <v>0.18</v>
      </c>
      <c r="AP45" s="207">
        <f t="shared" si="37"/>
        <v>6300</v>
      </c>
      <c r="AQ45" s="125">
        <f t="shared" si="38"/>
        <v>22394.149207517115</v>
      </c>
      <c r="AR45" s="52">
        <f t="shared" si="39"/>
        <v>945</v>
      </c>
      <c r="AS45" s="48">
        <f t="shared" si="40"/>
        <v>895.76596830068468</v>
      </c>
      <c r="AT45" s="128">
        <f t="shared" si="41"/>
        <v>24234.915175817801</v>
      </c>
      <c r="AV45" s="124">
        <f t="shared" si="17"/>
        <v>18</v>
      </c>
      <c r="AW45" s="125">
        <f t="shared" si="17"/>
        <v>40</v>
      </c>
      <c r="AX45" s="48">
        <v>1</v>
      </c>
      <c r="AY45" s="126">
        <f t="shared" si="18"/>
        <v>0.13500000000000001</v>
      </c>
      <c r="AZ45" s="126">
        <f t="shared" si="19"/>
        <v>0.18</v>
      </c>
      <c r="BA45" s="207">
        <f t="shared" si="42"/>
        <v>6300</v>
      </c>
      <c r="BB45" s="125">
        <f t="shared" si="43"/>
        <v>22394.149207517115</v>
      </c>
      <c r="BC45" s="48">
        <f t="shared" si="44"/>
        <v>945</v>
      </c>
      <c r="BD45" s="48">
        <f t="shared" si="45"/>
        <v>895.76596830068468</v>
      </c>
      <c r="BE45" s="128">
        <f t="shared" si="46"/>
        <v>24234.915175817801</v>
      </c>
    </row>
    <row r="46" spans="2:57" ht="15.75" thickTop="1" thickBot="1">
      <c r="B46" s="58">
        <f t="shared" si="50"/>
        <v>19</v>
      </c>
      <c r="C46" s="52">
        <f t="shared" si="50"/>
        <v>40</v>
      </c>
      <c r="D46" s="185">
        <f t="shared" si="47"/>
        <v>1</v>
      </c>
      <c r="E46" s="48">
        <f t="shared" si="21"/>
        <v>700</v>
      </c>
      <c r="F46" s="205">
        <f t="shared" si="22"/>
        <v>9</v>
      </c>
      <c r="G46" s="192">
        <f t="shared" si="23"/>
        <v>6300</v>
      </c>
      <c r="I46" s="58">
        <f t="shared" si="24"/>
        <v>19</v>
      </c>
      <c r="J46" s="74">
        <f t="shared" si="25"/>
        <v>40</v>
      </c>
      <c r="K46" s="74">
        <f t="shared" si="3"/>
        <v>9</v>
      </c>
      <c r="L46" s="52">
        <f t="shared" si="26"/>
        <v>4500</v>
      </c>
      <c r="M46" s="74">
        <f t="shared" si="4"/>
        <v>1800</v>
      </c>
      <c r="N46" s="74">
        <f t="shared" si="27"/>
        <v>6300</v>
      </c>
      <c r="O46" s="180">
        <f t="shared" si="28"/>
        <v>700</v>
      </c>
      <c r="Q46" s="58">
        <f t="shared" si="5"/>
        <v>19</v>
      </c>
      <c r="R46" s="52">
        <f t="shared" si="6"/>
        <v>41</v>
      </c>
      <c r="S46" s="52">
        <f t="shared" si="7"/>
        <v>1</v>
      </c>
      <c r="T46" s="54">
        <f t="shared" si="48"/>
        <v>0.1</v>
      </c>
      <c r="U46" s="52">
        <f t="shared" si="8"/>
        <v>1800</v>
      </c>
      <c r="V46" s="52">
        <f t="shared" si="29"/>
        <v>4616.1743192033919</v>
      </c>
      <c r="W46" s="52">
        <f t="shared" si="30"/>
        <v>180</v>
      </c>
      <c r="X46" s="87">
        <f t="shared" si="31"/>
        <v>184.64697276813567</v>
      </c>
      <c r="Y46" s="53">
        <f t="shared" si="32"/>
        <v>4980.8212919715279</v>
      </c>
      <c r="AA46" s="58">
        <f t="shared" si="9"/>
        <v>19</v>
      </c>
      <c r="AB46" s="52">
        <f t="shared" si="10"/>
        <v>41</v>
      </c>
      <c r="AC46" s="52">
        <f t="shared" si="11"/>
        <v>0</v>
      </c>
      <c r="AD46" s="54">
        <f t="shared" si="49"/>
        <v>0.15</v>
      </c>
      <c r="AE46" s="52">
        <f t="shared" si="12"/>
        <v>6300</v>
      </c>
      <c r="AF46" s="52">
        <f t="shared" si="33"/>
        <v>0</v>
      </c>
      <c r="AG46" s="52">
        <f t="shared" si="34"/>
        <v>0</v>
      </c>
      <c r="AH46" s="52">
        <f t="shared" si="13"/>
        <v>0</v>
      </c>
      <c r="AI46" s="53">
        <f t="shared" si="35"/>
        <v>0</v>
      </c>
      <c r="AK46" s="58">
        <f t="shared" si="36"/>
        <v>19</v>
      </c>
      <c r="AL46" s="52">
        <f t="shared" si="36"/>
        <v>41</v>
      </c>
      <c r="AM46" s="52">
        <f t="shared" si="14"/>
        <v>1</v>
      </c>
      <c r="AN46" s="54">
        <f t="shared" si="15"/>
        <v>0.13500000000000001</v>
      </c>
      <c r="AO46" s="54">
        <f t="shared" si="16"/>
        <v>0.18</v>
      </c>
      <c r="AP46" s="207">
        <f t="shared" si="37"/>
        <v>6300</v>
      </c>
      <c r="AQ46" s="52">
        <f t="shared" si="38"/>
        <v>24234.915175817801</v>
      </c>
      <c r="AR46" s="52">
        <f t="shared" si="39"/>
        <v>945</v>
      </c>
      <c r="AS46" s="48">
        <f t="shared" si="40"/>
        <v>969.39660703271204</v>
      </c>
      <c r="AT46" s="53">
        <f t="shared" si="41"/>
        <v>26149.311782850513</v>
      </c>
      <c r="AV46" s="58">
        <f t="shared" si="17"/>
        <v>19</v>
      </c>
      <c r="AW46" s="52">
        <f t="shared" si="17"/>
        <v>41</v>
      </c>
      <c r="AX46" s="48">
        <v>1</v>
      </c>
      <c r="AY46" s="54">
        <f t="shared" si="18"/>
        <v>0.13500000000000001</v>
      </c>
      <c r="AZ46" s="54">
        <f t="shared" si="19"/>
        <v>0.18</v>
      </c>
      <c r="BA46" s="207">
        <f t="shared" si="42"/>
        <v>6300</v>
      </c>
      <c r="BB46" s="52">
        <f t="shared" si="43"/>
        <v>24234.915175817801</v>
      </c>
      <c r="BC46" s="48">
        <f t="shared" si="44"/>
        <v>945</v>
      </c>
      <c r="BD46" s="48">
        <f t="shared" si="45"/>
        <v>969.39660703271204</v>
      </c>
      <c r="BE46" s="53">
        <f t="shared" si="46"/>
        <v>26149.311782850513</v>
      </c>
    </row>
    <row r="47" spans="2:57" ht="15.75" thickTop="1" thickBot="1">
      <c r="B47" s="58">
        <f t="shared" si="50"/>
        <v>20</v>
      </c>
      <c r="C47" s="52">
        <f t="shared" si="50"/>
        <v>41</v>
      </c>
      <c r="D47" s="185">
        <f t="shared" si="47"/>
        <v>1</v>
      </c>
      <c r="E47" s="48">
        <f t="shared" si="21"/>
        <v>700</v>
      </c>
      <c r="F47" s="205">
        <f t="shared" si="22"/>
        <v>9</v>
      </c>
      <c r="G47" s="192">
        <f t="shared" si="23"/>
        <v>6300</v>
      </c>
      <c r="I47" s="58">
        <f t="shared" si="24"/>
        <v>20</v>
      </c>
      <c r="J47" s="74">
        <f t="shared" si="25"/>
        <v>41</v>
      </c>
      <c r="K47" s="74">
        <f t="shared" si="3"/>
        <v>9</v>
      </c>
      <c r="L47" s="52">
        <f t="shared" si="26"/>
        <v>4500</v>
      </c>
      <c r="M47" s="74">
        <f t="shared" si="4"/>
        <v>1800</v>
      </c>
      <c r="N47" s="74">
        <f t="shared" si="27"/>
        <v>6300</v>
      </c>
      <c r="O47" s="180">
        <f t="shared" si="28"/>
        <v>700</v>
      </c>
      <c r="Q47" s="58">
        <f t="shared" si="5"/>
        <v>20</v>
      </c>
      <c r="R47" s="52">
        <f t="shared" si="6"/>
        <v>42</v>
      </c>
      <c r="S47" s="52">
        <f t="shared" si="7"/>
        <v>1</v>
      </c>
      <c r="T47" s="54">
        <f t="shared" si="48"/>
        <v>0.1</v>
      </c>
      <c r="U47" s="52">
        <f t="shared" si="8"/>
        <v>1800</v>
      </c>
      <c r="V47" s="52">
        <f t="shared" si="29"/>
        <v>4980.8212919715279</v>
      </c>
      <c r="W47" s="52">
        <f t="shared" si="30"/>
        <v>180</v>
      </c>
      <c r="X47" s="87">
        <f t="shared" si="31"/>
        <v>199.23285167886112</v>
      </c>
      <c r="Y47" s="53">
        <f t="shared" si="32"/>
        <v>5360.0541436503891</v>
      </c>
      <c r="AA47" s="58">
        <f t="shared" si="9"/>
        <v>20</v>
      </c>
      <c r="AB47" s="52">
        <f t="shared" si="10"/>
        <v>42</v>
      </c>
      <c r="AC47" s="52">
        <f t="shared" si="11"/>
        <v>0</v>
      </c>
      <c r="AD47" s="54">
        <f t="shared" si="49"/>
        <v>0.15</v>
      </c>
      <c r="AE47" s="52">
        <f t="shared" si="12"/>
        <v>6300</v>
      </c>
      <c r="AF47" s="52">
        <f t="shared" si="33"/>
        <v>0</v>
      </c>
      <c r="AG47" s="52">
        <f t="shared" si="34"/>
        <v>0</v>
      </c>
      <c r="AH47" s="52">
        <f t="shared" si="13"/>
        <v>0</v>
      </c>
      <c r="AI47" s="53">
        <f t="shared" si="35"/>
        <v>0</v>
      </c>
      <c r="AK47" s="58">
        <f t="shared" si="36"/>
        <v>20</v>
      </c>
      <c r="AL47" s="52">
        <f t="shared" si="36"/>
        <v>42</v>
      </c>
      <c r="AM47" s="52">
        <f t="shared" si="14"/>
        <v>1</v>
      </c>
      <c r="AN47" s="54">
        <f t="shared" si="15"/>
        <v>0.13500000000000001</v>
      </c>
      <c r="AO47" s="54">
        <f t="shared" si="16"/>
        <v>0.18</v>
      </c>
      <c r="AP47" s="207">
        <f t="shared" si="37"/>
        <v>6300</v>
      </c>
      <c r="AQ47" s="52">
        <f t="shared" si="38"/>
        <v>26149.311782850513</v>
      </c>
      <c r="AR47" s="52">
        <f t="shared" si="39"/>
        <v>945</v>
      </c>
      <c r="AS47" s="48">
        <f t="shared" si="40"/>
        <v>1045.9724713140206</v>
      </c>
      <c r="AT47" s="53">
        <f t="shared" si="41"/>
        <v>28140.284254164533</v>
      </c>
      <c r="AV47" s="58">
        <f t="shared" si="17"/>
        <v>20</v>
      </c>
      <c r="AW47" s="52">
        <f t="shared" si="17"/>
        <v>42</v>
      </c>
      <c r="AX47" s="48">
        <v>1</v>
      </c>
      <c r="AY47" s="54">
        <f t="shared" si="18"/>
        <v>0.13500000000000001</v>
      </c>
      <c r="AZ47" s="54">
        <f t="shared" si="19"/>
        <v>0.18</v>
      </c>
      <c r="BA47" s="207">
        <f t="shared" si="42"/>
        <v>6300</v>
      </c>
      <c r="BB47" s="52">
        <f t="shared" si="43"/>
        <v>26149.311782850513</v>
      </c>
      <c r="BC47" s="48">
        <f t="shared" si="44"/>
        <v>945</v>
      </c>
      <c r="BD47" s="48">
        <f t="shared" si="45"/>
        <v>1045.9724713140206</v>
      </c>
      <c r="BE47" s="53">
        <f t="shared" si="46"/>
        <v>28140.284254164533</v>
      </c>
    </row>
    <row r="48" spans="2:57" ht="15.75" thickTop="1" thickBot="1">
      <c r="B48" s="58">
        <f t="shared" si="50"/>
        <v>21</v>
      </c>
      <c r="C48" s="52">
        <f t="shared" si="50"/>
        <v>42</v>
      </c>
      <c r="D48" s="185">
        <f t="shared" si="47"/>
        <v>1</v>
      </c>
      <c r="E48" s="48">
        <f t="shared" si="21"/>
        <v>700</v>
      </c>
      <c r="F48" s="205">
        <f t="shared" si="22"/>
        <v>9</v>
      </c>
      <c r="G48" s="192">
        <f t="shared" si="23"/>
        <v>6300</v>
      </c>
      <c r="I48" s="58">
        <f t="shared" si="24"/>
        <v>21</v>
      </c>
      <c r="J48" s="74">
        <f t="shared" si="25"/>
        <v>42</v>
      </c>
      <c r="K48" s="74">
        <f t="shared" si="3"/>
        <v>9</v>
      </c>
      <c r="L48" s="52">
        <f t="shared" si="26"/>
        <v>4500</v>
      </c>
      <c r="M48" s="74">
        <f t="shared" si="4"/>
        <v>1800</v>
      </c>
      <c r="N48" s="74">
        <f t="shared" si="27"/>
        <v>6300</v>
      </c>
      <c r="O48" s="180">
        <f t="shared" si="28"/>
        <v>700</v>
      </c>
      <c r="Q48" s="58">
        <f t="shared" si="5"/>
        <v>21</v>
      </c>
      <c r="R48" s="52">
        <f t="shared" si="6"/>
        <v>43</v>
      </c>
      <c r="S48" s="52">
        <f t="shared" si="7"/>
        <v>1</v>
      </c>
      <c r="T48" s="54">
        <f t="shared" si="48"/>
        <v>0.1</v>
      </c>
      <c r="U48" s="52">
        <f t="shared" si="8"/>
        <v>1800</v>
      </c>
      <c r="V48" s="52">
        <f t="shared" si="29"/>
        <v>5360.0541436503891</v>
      </c>
      <c r="W48" s="52">
        <f t="shared" si="30"/>
        <v>180</v>
      </c>
      <c r="X48" s="87">
        <f t="shared" si="31"/>
        <v>214.40216574601556</v>
      </c>
      <c r="Y48" s="53">
        <f t="shared" si="32"/>
        <v>5754.4563093964043</v>
      </c>
      <c r="AA48" s="58">
        <f t="shared" si="9"/>
        <v>21</v>
      </c>
      <c r="AB48" s="52">
        <f t="shared" si="10"/>
        <v>43</v>
      </c>
      <c r="AC48" s="52">
        <f t="shared" si="11"/>
        <v>0</v>
      </c>
      <c r="AD48" s="54">
        <f t="shared" si="49"/>
        <v>0.15</v>
      </c>
      <c r="AE48" s="52">
        <f t="shared" si="12"/>
        <v>6300</v>
      </c>
      <c r="AF48" s="52">
        <f t="shared" si="33"/>
        <v>0</v>
      </c>
      <c r="AG48" s="52">
        <f t="shared" si="34"/>
        <v>0</v>
      </c>
      <c r="AH48" s="52">
        <f t="shared" si="13"/>
        <v>0</v>
      </c>
      <c r="AI48" s="53">
        <f t="shared" si="35"/>
        <v>0</v>
      </c>
      <c r="AK48" s="58">
        <f t="shared" si="36"/>
        <v>21</v>
      </c>
      <c r="AL48" s="52">
        <f t="shared" si="36"/>
        <v>43</v>
      </c>
      <c r="AM48" s="52">
        <f t="shared" si="14"/>
        <v>1</v>
      </c>
      <c r="AN48" s="54">
        <f t="shared" si="15"/>
        <v>0.13500000000000001</v>
      </c>
      <c r="AO48" s="54">
        <f t="shared" si="16"/>
        <v>0.18</v>
      </c>
      <c r="AP48" s="207">
        <f t="shared" si="37"/>
        <v>6300</v>
      </c>
      <c r="AQ48" s="52">
        <f t="shared" si="38"/>
        <v>28140.284254164533</v>
      </c>
      <c r="AR48" s="52">
        <f t="shared" si="39"/>
        <v>945</v>
      </c>
      <c r="AS48" s="48">
        <f t="shared" si="40"/>
        <v>1125.6113701665813</v>
      </c>
      <c r="AT48" s="53">
        <f t="shared" si="41"/>
        <v>30210.895624331115</v>
      </c>
      <c r="AV48" s="58">
        <f t="shared" si="17"/>
        <v>21</v>
      </c>
      <c r="AW48" s="52">
        <f t="shared" si="17"/>
        <v>43</v>
      </c>
      <c r="AX48" s="48">
        <v>1</v>
      </c>
      <c r="AY48" s="54">
        <f t="shared" si="18"/>
        <v>0.13500000000000001</v>
      </c>
      <c r="AZ48" s="54">
        <f t="shared" si="19"/>
        <v>0.18</v>
      </c>
      <c r="BA48" s="207">
        <f t="shared" si="42"/>
        <v>6300</v>
      </c>
      <c r="BB48" s="52">
        <f t="shared" si="43"/>
        <v>28140.284254164533</v>
      </c>
      <c r="BC48" s="48">
        <f t="shared" si="44"/>
        <v>945</v>
      </c>
      <c r="BD48" s="48">
        <f t="shared" si="45"/>
        <v>1125.6113701665813</v>
      </c>
      <c r="BE48" s="53">
        <f t="shared" si="46"/>
        <v>30210.895624331115</v>
      </c>
    </row>
    <row r="49" spans="2:57" ht="15.75" thickTop="1" thickBot="1">
      <c r="B49" s="58">
        <f t="shared" si="50"/>
        <v>22</v>
      </c>
      <c r="C49" s="52">
        <f t="shared" si="50"/>
        <v>43</v>
      </c>
      <c r="D49" s="185">
        <f t="shared" si="47"/>
        <v>1</v>
      </c>
      <c r="E49" s="48">
        <f t="shared" si="21"/>
        <v>700</v>
      </c>
      <c r="F49" s="205">
        <f t="shared" si="22"/>
        <v>9</v>
      </c>
      <c r="G49" s="192">
        <f t="shared" si="23"/>
        <v>6300</v>
      </c>
      <c r="I49" s="58">
        <f t="shared" si="24"/>
        <v>22</v>
      </c>
      <c r="J49" s="74">
        <f t="shared" si="25"/>
        <v>43</v>
      </c>
      <c r="K49" s="74">
        <f t="shared" si="3"/>
        <v>9</v>
      </c>
      <c r="L49" s="52">
        <f t="shared" si="26"/>
        <v>4500</v>
      </c>
      <c r="M49" s="74">
        <f t="shared" si="4"/>
        <v>1800</v>
      </c>
      <c r="N49" s="74">
        <f t="shared" si="27"/>
        <v>6300</v>
      </c>
      <c r="O49" s="180">
        <f t="shared" si="28"/>
        <v>700</v>
      </c>
      <c r="Q49" s="58">
        <f t="shared" si="5"/>
        <v>22</v>
      </c>
      <c r="R49" s="52">
        <f t="shared" si="6"/>
        <v>44</v>
      </c>
      <c r="S49" s="52">
        <f t="shared" si="7"/>
        <v>1</v>
      </c>
      <c r="T49" s="54">
        <f t="shared" si="48"/>
        <v>0.1</v>
      </c>
      <c r="U49" s="52">
        <f t="shared" si="8"/>
        <v>1800</v>
      </c>
      <c r="V49" s="52">
        <f t="shared" si="29"/>
        <v>5754.4563093964043</v>
      </c>
      <c r="W49" s="52">
        <f t="shared" si="30"/>
        <v>180</v>
      </c>
      <c r="X49" s="87">
        <f t="shared" si="31"/>
        <v>230.17825237585618</v>
      </c>
      <c r="Y49" s="53">
        <f t="shared" si="32"/>
        <v>6164.6345617722609</v>
      </c>
      <c r="AA49" s="58">
        <f t="shared" si="9"/>
        <v>22</v>
      </c>
      <c r="AB49" s="52">
        <f t="shared" si="10"/>
        <v>44</v>
      </c>
      <c r="AC49" s="52">
        <f t="shared" si="11"/>
        <v>0</v>
      </c>
      <c r="AD49" s="54">
        <f t="shared" si="49"/>
        <v>0.15</v>
      </c>
      <c r="AE49" s="52">
        <f t="shared" si="12"/>
        <v>6300</v>
      </c>
      <c r="AF49" s="52">
        <f t="shared" si="33"/>
        <v>0</v>
      </c>
      <c r="AG49" s="52">
        <f t="shared" si="34"/>
        <v>0</v>
      </c>
      <c r="AH49" s="52">
        <f t="shared" si="13"/>
        <v>0</v>
      </c>
      <c r="AI49" s="53">
        <f t="shared" si="35"/>
        <v>0</v>
      </c>
      <c r="AK49" s="58">
        <f t="shared" si="36"/>
        <v>22</v>
      </c>
      <c r="AL49" s="52">
        <f t="shared" si="36"/>
        <v>44</v>
      </c>
      <c r="AM49" s="52">
        <f t="shared" si="14"/>
        <v>1</v>
      </c>
      <c r="AN49" s="54">
        <f t="shared" si="15"/>
        <v>0.13500000000000001</v>
      </c>
      <c r="AO49" s="54">
        <f t="shared" si="16"/>
        <v>0.18</v>
      </c>
      <c r="AP49" s="207">
        <f t="shared" si="37"/>
        <v>6300</v>
      </c>
      <c r="AQ49" s="52">
        <f t="shared" si="38"/>
        <v>30210.895624331115</v>
      </c>
      <c r="AR49" s="52">
        <f t="shared" si="39"/>
        <v>945</v>
      </c>
      <c r="AS49" s="48">
        <f t="shared" si="40"/>
        <v>1208.4358249732447</v>
      </c>
      <c r="AT49" s="53">
        <f t="shared" si="41"/>
        <v>32364.331449304358</v>
      </c>
      <c r="AV49" s="58">
        <f t="shared" si="17"/>
        <v>22</v>
      </c>
      <c r="AW49" s="52">
        <f t="shared" si="17"/>
        <v>44</v>
      </c>
      <c r="AX49" s="48">
        <v>1</v>
      </c>
      <c r="AY49" s="54">
        <f t="shared" si="18"/>
        <v>0.13500000000000001</v>
      </c>
      <c r="AZ49" s="54">
        <f t="shared" si="19"/>
        <v>0.18</v>
      </c>
      <c r="BA49" s="207">
        <f t="shared" si="42"/>
        <v>6300</v>
      </c>
      <c r="BB49" s="52">
        <f t="shared" si="43"/>
        <v>30210.895624331115</v>
      </c>
      <c r="BC49" s="48">
        <f t="shared" si="44"/>
        <v>945</v>
      </c>
      <c r="BD49" s="48">
        <f t="shared" si="45"/>
        <v>1208.4358249732447</v>
      </c>
      <c r="BE49" s="53">
        <f t="shared" si="46"/>
        <v>32364.331449304358</v>
      </c>
    </row>
    <row r="50" spans="2:57" ht="15.75" thickTop="1" thickBot="1">
      <c r="B50" s="58">
        <f t="shared" si="50"/>
        <v>23</v>
      </c>
      <c r="C50" s="52">
        <f t="shared" si="50"/>
        <v>44</v>
      </c>
      <c r="D50" s="185">
        <f t="shared" si="47"/>
        <v>1</v>
      </c>
      <c r="E50" s="48">
        <f t="shared" si="21"/>
        <v>700</v>
      </c>
      <c r="F50" s="205">
        <f t="shared" si="22"/>
        <v>9</v>
      </c>
      <c r="G50" s="192">
        <f t="shared" si="23"/>
        <v>6300</v>
      </c>
      <c r="I50" s="58">
        <f t="shared" si="24"/>
        <v>23</v>
      </c>
      <c r="J50" s="74">
        <f t="shared" si="25"/>
        <v>44</v>
      </c>
      <c r="K50" s="74">
        <f t="shared" si="3"/>
        <v>9</v>
      </c>
      <c r="L50" s="52">
        <f t="shared" si="26"/>
        <v>4500</v>
      </c>
      <c r="M50" s="74">
        <f t="shared" si="4"/>
        <v>1800</v>
      </c>
      <c r="N50" s="74">
        <f t="shared" si="27"/>
        <v>6300</v>
      </c>
      <c r="O50" s="180">
        <f t="shared" si="28"/>
        <v>700</v>
      </c>
      <c r="Q50" s="58">
        <f t="shared" si="5"/>
        <v>23</v>
      </c>
      <c r="R50" s="52">
        <f t="shared" si="6"/>
        <v>45</v>
      </c>
      <c r="S50" s="52">
        <f t="shared" si="7"/>
        <v>1</v>
      </c>
      <c r="T50" s="54">
        <f t="shared" si="48"/>
        <v>0.1</v>
      </c>
      <c r="U50" s="52">
        <f t="shared" si="8"/>
        <v>1800</v>
      </c>
      <c r="V50" s="52">
        <f t="shared" si="29"/>
        <v>6164.6345617722609</v>
      </c>
      <c r="W50" s="52">
        <f t="shared" si="30"/>
        <v>180</v>
      </c>
      <c r="X50" s="87">
        <f t="shared" si="31"/>
        <v>246.58538247089044</v>
      </c>
      <c r="Y50" s="53">
        <f t="shared" si="32"/>
        <v>6591.2199442431511</v>
      </c>
      <c r="AA50" s="58">
        <f t="shared" si="9"/>
        <v>23</v>
      </c>
      <c r="AB50" s="52">
        <f t="shared" si="10"/>
        <v>45</v>
      </c>
      <c r="AC50" s="52">
        <f t="shared" si="11"/>
        <v>0</v>
      </c>
      <c r="AD50" s="54">
        <f t="shared" si="49"/>
        <v>0.15</v>
      </c>
      <c r="AE50" s="52">
        <f t="shared" si="12"/>
        <v>6300</v>
      </c>
      <c r="AF50" s="52">
        <f t="shared" si="33"/>
        <v>0</v>
      </c>
      <c r="AG50" s="52">
        <f t="shared" si="34"/>
        <v>0</v>
      </c>
      <c r="AH50" s="52">
        <f t="shared" si="13"/>
        <v>0</v>
      </c>
      <c r="AI50" s="53">
        <f t="shared" si="35"/>
        <v>0</v>
      </c>
      <c r="AK50" s="58">
        <f t="shared" si="36"/>
        <v>23</v>
      </c>
      <c r="AL50" s="52">
        <f t="shared" si="36"/>
        <v>45</v>
      </c>
      <c r="AM50" s="52">
        <f t="shared" si="14"/>
        <v>1</v>
      </c>
      <c r="AN50" s="54">
        <f t="shared" si="15"/>
        <v>0.13500000000000001</v>
      </c>
      <c r="AO50" s="54">
        <f t="shared" si="16"/>
        <v>0.18</v>
      </c>
      <c r="AP50" s="207">
        <f t="shared" si="37"/>
        <v>6300</v>
      </c>
      <c r="AQ50" s="52">
        <f t="shared" si="38"/>
        <v>32364.331449304358</v>
      </c>
      <c r="AR50" s="52">
        <f t="shared" si="39"/>
        <v>945</v>
      </c>
      <c r="AS50" s="48">
        <f t="shared" si="40"/>
        <v>1294.5732579721744</v>
      </c>
      <c r="AT50" s="53">
        <f t="shared" si="41"/>
        <v>34603.904707276532</v>
      </c>
      <c r="AV50" s="58">
        <f t="shared" si="17"/>
        <v>23</v>
      </c>
      <c r="AW50" s="52">
        <f t="shared" si="17"/>
        <v>45</v>
      </c>
      <c r="AX50" s="48">
        <v>1</v>
      </c>
      <c r="AY50" s="54">
        <f t="shared" si="18"/>
        <v>0.13500000000000001</v>
      </c>
      <c r="AZ50" s="54">
        <f t="shared" si="19"/>
        <v>0.18</v>
      </c>
      <c r="BA50" s="207">
        <f t="shared" si="42"/>
        <v>6300</v>
      </c>
      <c r="BB50" s="52">
        <f t="shared" si="43"/>
        <v>32364.331449304358</v>
      </c>
      <c r="BC50" s="48">
        <f t="shared" si="44"/>
        <v>945</v>
      </c>
      <c r="BD50" s="48">
        <f t="shared" si="45"/>
        <v>1294.5732579721744</v>
      </c>
      <c r="BE50" s="53">
        <f t="shared" si="46"/>
        <v>34603.904707276532</v>
      </c>
    </row>
    <row r="51" spans="2:57" ht="15.75" thickTop="1" thickBot="1">
      <c r="B51" s="58">
        <f t="shared" si="50"/>
        <v>24</v>
      </c>
      <c r="C51" s="52">
        <f t="shared" si="50"/>
        <v>45</v>
      </c>
      <c r="D51" s="185">
        <f t="shared" si="47"/>
        <v>1</v>
      </c>
      <c r="E51" s="48">
        <f t="shared" si="21"/>
        <v>700</v>
      </c>
      <c r="F51" s="205">
        <f t="shared" si="22"/>
        <v>9</v>
      </c>
      <c r="G51" s="192">
        <f t="shared" si="23"/>
        <v>6300</v>
      </c>
      <c r="I51" s="58">
        <f t="shared" si="24"/>
        <v>24</v>
      </c>
      <c r="J51" s="74">
        <f t="shared" si="25"/>
        <v>45</v>
      </c>
      <c r="K51" s="74">
        <f t="shared" si="3"/>
        <v>9</v>
      </c>
      <c r="L51" s="52">
        <f t="shared" si="26"/>
        <v>4500</v>
      </c>
      <c r="M51" s="74">
        <f t="shared" si="4"/>
        <v>1800</v>
      </c>
      <c r="N51" s="74">
        <f t="shared" si="27"/>
        <v>6300</v>
      </c>
      <c r="O51" s="180">
        <f t="shared" si="28"/>
        <v>700</v>
      </c>
      <c r="Q51" s="58">
        <f t="shared" si="5"/>
        <v>24</v>
      </c>
      <c r="R51" s="52">
        <f t="shared" si="6"/>
        <v>46</v>
      </c>
      <c r="S51" s="52">
        <f t="shared" si="7"/>
        <v>1</v>
      </c>
      <c r="T51" s="54">
        <f t="shared" si="48"/>
        <v>0.1</v>
      </c>
      <c r="U51" s="52">
        <f t="shared" si="8"/>
        <v>1800</v>
      </c>
      <c r="V51" s="52">
        <f t="shared" si="29"/>
        <v>6591.2199442431511</v>
      </c>
      <c r="W51" s="52">
        <f t="shared" si="30"/>
        <v>180</v>
      </c>
      <c r="X51" s="87">
        <f t="shared" si="31"/>
        <v>263.64879776972606</v>
      </c>
      <c r="Y51" s="53">
        <f t="shared" si="32"/>
        <v>7034.8687420128772</v>
      </c>
      <c r="AA51" s="58">
        <f t="shared" si="9"/>
        <v>24</v>
      </c>
      <c r="AB51" s="52">
        <f t="shared" si="10"/>
        <v>46</v>
      </c>
      <c r="AC51" s="52">
        <f t="shared" si="11"/>
        <v>0</v>
      </c>
      <c r="AD51" s="54">
        <f t="shared" si="49"/>
        <v>0.15</v>
      </c>
      <c r="AE51" s="52">
        <f t="shared" si="12"/>
        <v>6300</v>
      </c>
      <c r="AF51" s="52">
        <f t="shared" si="33"/>
        <v>0</v>
      </c>
      <c r="AG51" s="52">
        <f t="shared" si="34"/>
        <v>0</v>
      </c>
      <c r="AH51" s="52">
        <f t="shared" si="13"/>
        <v>0</v>
      </c>
      <c r="AI51" s="53">
        <f t="shared" si="35"/>
        <v>0</v>
      </c>
      <c r="AK51" s="58">
        <f t="shared" si="36"/>
        <v>24</v>
      </c>
      <c r="AL51" s="52">
        <f t="shared" si="36"/>
        <v>46</v>
      </c>
      <c r="AM51" s="52">
        <f t="shared" si="14"/>
        <v>1</v>
      </c>
      <c r="AN51" s="54">
        <f t="shared" si="15"/>
        <v>0.13500000000000001</v>
      </c>
      <c r="AO51" s="54">
        <f t="shared" si="16"/>
        <v>0.18</v>
      </c>
      <c r="AP51" s="207">
        <f t="shared" si="37"/>
        <v>6300</v>
      </c>
      <c r="AQ51" s="52">
        <f t="shared" si="38"/>
        <v>34603.904707276532</v>
      </c>
      <c r="AR51" s="52">
        <f t="shared" si="39"/>
        <v>945</v>
      </c>
      <c r="AS51" s="48">
        <f t="shared" si="40"/>
        <v>1384.1561882910612</v>
      </c>
      <c r="AT51" s="53">
        <f t="shared" si="41"/>
        <v>36933.060895567593</v>
      </c>
      <c r="AV51" s="58">
        <f t="shared" si="17"/>
        <v>24</v>
      </c>
      <c r="AW51" s="52">
        <f t="shared" si="17"/>
        <v>46</v>
      </c>
      <c r="AX51" s="48">
        <v>1</v>
      </c>
      <c r="AY51" s="54">
        <f t="shared" si="18"/>
        <v>0.13500000000000001</v>
      </c>
      <c r="AZ51" s="54">
        <f t="shared" si="19"/>
        <v>0.18</v>
      </c>
      <c r="BA51" s="207">
        <f t="shared" si="42"/>
        <v>6300</v>
      </c>
      <c r="BB51" s="52">
        <f t="shared" si="43"/>
        <v>34603.904707276532</v>
      </c>
      <c r="BC51" s="48">
        <f t="shared" si="44"/>
        <v>945</v>
      </c>
      <c r="BD51" s="48">
        <f t="shared" si="45"/>
        <v>1384.1561882910612</v>
      </c>
      <c r="BE51" s="53">
        <f t="shared" si="46"/>
        <v>36933.060895567593</v>
      </c>
    </row>
    <row r="52" spans="2:57" ht="15.75" thickTop="1" thickBot="1">
      <c r="B52" s="58">
        <f t="shared" si="50"/>
        <v>25</v>
      </c>
      <c r="C52" s="52">
        <f t="shared" si="50"/>
        <v>46</v>
      </c>
      <c r="D52" s="185">
        <f t="shared" si="47"/>
        <v>1</v>
      </c>
      <c r="E52" s="48">
        <f t="shared" si="21"/>
        <v>700</v>
      </c>
      <c r="F52" s="205">
        <f t="shared" si="22"/>
        <v>9</v>
      </c>
      <c r="G52" s="192">
        <f t="shared" si="23"/>
        <v>6300</v>
      </c>
      <c r="I52" s="58">
        <f t="shared" si="24"/>
        <v>25</v>
      </c>
      <c r="J52" s="74">
        <f t="shared" si="25"/>
        <v>46</v>
      </c>
      <c r="K52" s="74">
        <f t="shared" si="3"/>
        <v>9</v>
      </c>
      <c r="L52" s="125">
        <f t="shared" si="26"/>
        <v>4500</v>
      </c>
      <c r="M52" s="74">
        <f t="shared" si="4"/>
        <v>1800</v>
      </c>
      <c r="N52" s="74">
        <f t="shared" si="27"/>
        <v>6300</v>
      </c>
      <c r="O52" s="180">
        <f t="shared" si="28"/>
        <v>700</v>
      </c>
      <c r="Q52" s="58">
        <f t="shared" si="5"/>
        <v>25</v>
      </c>
      <c r="R52" s="52">
        <f t="shared" si="6"/>
        <v>47</v>
      </c>
      <c r="S52" s="52">
        <f t="shared" si="7"/>
        <v>1</v>
      </c>
      <c r="T52" s="54">
        <f t="shared" si="48"/>
        <v>0.1</v>
      </c>
      <c r="U52" s="52">
        <f t="shared" si="8"/>
        <v>1800</v>
      </c>
      <c r="V52" s="52">
        <f t="shared" si="29"/>
        <v>7034.8687420128772</v>
      </c>
      <c r="W52" s="52">
        <f t="shared" si="30"/>
        <v>180</v>
      </c>
      <c r="X52" s="87">
        <f t="shared" si="31"/>
        <v>281.39474968051508</v>
      </c>
      <c r="Y52" s="53">
        <f t="shared" si="32"/>
        <v>7496.2634916933921</v>
      </c>
      <c r="AA52" s="58">
        <f t="shared" si="9"/>
        <v>25</v>
      </c>
      <c r="AB52" s="52">
        <f t="shared" si="10"/>
        <v>47</v>
      </c>
      <c r="AC52" s="52">
        <f t="shared" si="11"/>
        <v>0</v>
      </c>
      <c r="AD52" s="54">
        <f t="shared" si="49"/>
        <v>0.15</v>
      </c>
      <c r="AE52" s="52">
        <f t="shared" si="12"/>
        <v>6300</v>
      </c>
      <c r="AF52" s="52">
        <f t="shared" si="33"/>
        <v>0</v>
      </c>
      <c r="AG52" s="52">
        <f t="shared" si="34"/>
        <v>0</v>
      </c>
      <c r="AH52" s="52">
        <f t="shared" si="13"/>
        <v>0</v>
      </c>
      <c r="AI52" s="53">
        <f t="shared" si="35"/>
        <v>0</v>
      </c>
      <c r="AK52" s="58">
        <f t="shared" si="36"/>
        <v>25</v>
      </c>
      <c r="AL52" s="52">
        <f t="shared" si="36"/>
        <v>47</v>
      </c>
      <c r="AM52" s="52">
        <f t="shared" si="14"/>
        <v>1</v>
      </c>
      <c r="AN52" s="54">
        <f t="shared" si="15"/>
        <v>0.13500000000000001</v>
      </c>
      <c r="AO52" s="54">
        <f t="shared" si="16"/>
        <v>0.18</v>
      </c>
      <c r="AP52" s="207">
        <f t="shared" si="37"/>
        <v>6300</v>
      </c>
      <c r="AQ52" s="52">
        <f t="shared" si="38"/>
        <v>36933.060895567593</v>
      </c>
      <c r="AR52" s="52">
        <f t="shared" si="39"/>
        <v>945</v>
      </c>
      <c r="AS52" s="48">
        <f t="shared" si="40"/>
        <v>1477.3224358227037</v>
      </c>
      <c r="AT52" s="53">
        <f t="shared" si="41"/>
        <v>39355.383331390294</v>
      </c>
      <c r="AV52" s="58">
        <f t="shared" si="17"/>
        <v>25</v>
      </c>
      <c r="AW52" s="52">
        <f t="shared" si="17"/>
        <v>47</v>
      </c>
      <c r="AX52" s="48">
        <v>1</v>
      </c>
      <c r="AY52" s="54">
        <f t="shared" si="18"/>
        <v>0.13500000000000001</v>
      </c>
      <c r="AZ52" s="54">
        <f t="shared" si="19"/>
        <v>0.18</v>
      </c>
      <c r="BA52" s="207">
        <f t="shared" si="42"/>
        <v>6300</v>
      </c>
      <c r="BB52" s="52">
        <f t="shared" si="43"/>
        <v>36933.060895567593</v>
      </c>
      <c r="BC52" s="48">
        <f t="shared" si="44"/>
        <v>945</v>
      </c>
      <c r="BD52" s="48">
        <f t="shared" si="45"/>
        <v>1477.3224358227037</v>
      </c>
      <c r="BE52" s="53">
        <f t="shared" si="46"/>
        <v>39355.383331390294</v>
      </c>
    </row>
    <row r="53" spans="2:57" ht="15.75" thickTop="1" thickBot="1">
      <c r="B53" s="58">
        <f t="shared" si="50"/>
        <v>26</v>
      </c>
      <c r="C53" s="52">
        <f t="shared" si="50"/>
        <v>47</v>
      </c>
      <c r="D53" s="185">
        <f t="shared" si="47"/>
        <v>1</v>
      </c>
      <c r="E53" s="48">
        <f t="shared" si="21"/>
        <v>700</v>
      </c>
      <c r="F53" s="205">
        <f t="shared" si="22"/>
        <v>9</v>
      </c>
      <c r="G53" s="192">
        <f t="shared" si="23"/>
        <v>6300</v>
      </c>
      <c r="I53" s="58">
        <f t="shared" si="24"/>
        <v>26</v>
      </c>
      <c r="J53" s="74">
        <f t="shared" si="25"/>
        <v>47</v>
      </c>
      <c r="K53" s="74">
        <f t="shared" si="3"/>
        <v>9</v>
      </c>
      <c r="L53" s="125">
        <f t="shared" si="26"/>
        <v>4500</v>
      </c>
      <c r="M53" s="74">
        <f t="shared" si="4"/>
        <v>1800</v>
      </c>
      <c r="N53" s="74">
        <f t="shared" si="27"/>
        <v>6300</v>
      </c>
      <c r="O53" s="180">
        <f t="shared" si="28"/>
        <v>700</v>
      </c>
      <c r="Q53" s="58">
        <f t="shared" si="5"/>
        <v>26</v>
      </c>
      <c r="R53" s="52">
        <f t="shared" si="6"/>
        <v>48</v>
      </c>
      <c r="S53" s="52">
        <f t="shared" si="7"/>
        <v>1</v>
      </c>
      <c r="T53" s="54">
        <f t="shared" si="48"/>
        <v>0.1</v>
      </c>
      <c r="U53" s="52">
        <f t="shared" si="8"/>
        <v>1800</v>
      </c>
      <c r="V53" s="52">
        <f t="shared" si="29"/>
        <v>7496.2634916933921</v>
      </c>
      <c r="W53" s="52">
        <f t="shared" si="30"/>
        <v>180</v>
      </c>
      <c r="X53" s="87">
        <f t="shared" si="31"/>
        <v>299.85053966773569</v>
      </c>
      <c r="Y53" s="53">
        <f t="shared" si="32"/>
        <v>7976.1140313611277</v>
      </c>
      <c r="AA53" s="58">
        <f t="shared" si="9"/>
        <v>26</v>
      </c>
      <c r="AB53" s="52">
        <f t="shared" si="10"/>
        <v>48</v>
      </c>
      <c r="AC53" s="52">
        <f t="shared" si="11"/>
        <v>0</v>
      </c>
      <c r="AD53" s="54">
        <f t="shared" si="49"/>
        <v>0.15</v>
      </c>
      <c r="AE53" s="52">
        <f t="shared" si="12"/>
        <v>6300</v>
      </c>
      <c r="AF53" s="52">
        <f t="shared" si="33"/>
        <v>0</v>
      </c>
      <c r="AG53" s="52">
        <f t="shared" si="34"/>
        <v>0</v>
      </c>
      <c r="AH53" s="52">
        <f t="shared" si="13"/>
        <v>0</v>
      </c>
      <c r="AI53" s="53">
        <f t="shared" si="35"/>
        <v>0</v>
      </c>
      <c r="AK53" s="58">
        <f t="shared" si="36"/>
        <v>26</v>
      </c>
      <c r="AL53" s="52">
        <f t="shared" si="36"/>
        <v>48</v>
      </c>
      <c r="AM53" s="52">
        <f t="shared" si="14"/>
        <v>1</v>
      </c>
      <c r="AN53" s="54">
        <f t="shared" si="15"/>
        <v>0.13500000000000001</v>
      </c>
      <c r="AO53" s="54">
        <f t="shared" si="16"/>
        <v>0.18</v>
      </c>
      <c r="AP53" s="207">
        <f t="shared" si="37"/>
        <v>6300</v>
      </c>
      <c r="AQ53" s="52">
        <f t="shared" si="38"/>
        <v>39355.383331390294</v>
      </c>
      <c r="AR53" s="52">
        <f t="shared" si="39"/>
        <v>945</v>
      </c>
      <c r="AS53" s="48">
        <f t="shared" si="40"/>
        <v>1574.2153332556118</v>
      </c>
      <c r="AT53" s="53">
        <f t="shared" si="41"/>
        <v>41874.598664645906</v>
      </c>
      <c r="AV53" s="58">
        <f t="shared" si="17"/>
        <v>26</v>
      </c>
      <c r="AW53" s="52">
        <f t="shared" si="17"/>
        <v>48</v>
      </c>
      <c r="AX53" s="48">
        <v>1</v>
      </c>
      <c r="AY53" s="54">
        <f t="shared" si="18"/>
        <v>0.13500000000000001</v>
      </c>
      <c r="AZ53" s="54">
        <f t="shared" si="19"/>
        <v>0.18</v>
      </c>
      <c r="BA53" s="207">
        <f t="shared" si="42"/>
        <v>6300</v>
      </c>
      <c r="BB53" s="52">
        <f t="shared" si="43"/>
        <v>39355.383331390294</v>
      </c>
      <c r="BC53" s="48">
        <f t="shared" si="44"/>
        <v>945</v>
      </c>
      <c r="BD53" s="48">
        <f t="shared" si="45"/>
        <v>1574.2153332556118</v>
      </c>
      <c r="BE53" s="53">
        <f t="shared" si="46"/>
        <v>41874.598664645906</v>
      </c>
    </row>
    <row r="54" spans="2:57" ht="15.75" thickTop="1" thickBot="1">
      <c r="B54" s="58">
        <f t="shared" si="50"/>
        <v>27</v>
      </c>
      <c r="C54" s="52">
        <f t="shared" si="50"/>
        <v>48</v>
      </c>
      <c r="D54" s="185">
        <f t="shared" si="47"/>
        <v>1</v>
      </c>
      <c r="E54" s="48">
        <f t="shared" si="21"/>
        <v>700</v>
      </c>
      <c r="F54" s="205">
        <f t="shared" si="22"/>
        <v>9</v>
      </c>
      <c r="G54" s="192">
        <f t="shared" si="23"/>
        <v>6300</v>
      </c>
      <c r="I54" s="58">
        <f t="shared" si="24"/>
        <v>27</v>
      </c>
      <c r="J54" s="74">
        <f t="shared" si="25"/>
        <v>48</v>
      </c>
      <c r="K54" s="74">
        <f t="shared" si="3"/>
        <v>9</v>
      </c>
      <c r="L54" s="125">
        <f t="shared" si="26"/>
        <v>4500</v>
      </c>
      <c r="M54" s="74">
        <f t="shared" si="4"/>
        <v>1800</v>
      </c>
      <c r="N54" s="74">
        <f t="shared" si="27"/>
        <v>6300</v>
      </c>
      <c r="O54" s="180">
        <f t="shared" si="28"/>
        <v>700</v>
      </c>
      <c r="Q54" s="58">
        <f t="shared" si="5"/>
        <v>27</v>
      </c>
      <c r="R54" s="52">
        <f t="shared" si="6"/>
        <v>49</v>
      </c>
      <c r="S54" s="52">
        <f t="shared" si="7"/>
        <v>1</v>
      </c>
      <c r="T54" s="54">
        <f t="shared" si="48"/>
        <v>0.1</v>
      </c>
      <c r="U54" s="52">
        <f t="shared" si="8"/>
        <v>1800</v>
      </c>
      <c r="V54" s="52">
        <f t="shared" si="29"/>
        <v>7976.1140313611277</v>
      </c>
      <c r="W54" s="52">
        <f t="shared" si="30"/>
        <v>180</v>
      </c>
      <c r="X54" s="87">
        <f t="shared" si="31"/>
        <v>319.04456125444511</v>
      </c>
      <c r="Y54" s="53">
        <f t="shared" si="32"/>
        <v>8475.1585926155731</v>
      </c>
      <c r="AA54" s="58">
        <f t="shared" si="9"/>
        <v>27</v>
      </c>
      <c r="AB54" s="52">
        <f t="shared" si="10"/>
        <v>49</v>
      </c>
      <c r="AC54" s="52">
        <f t="shared" si="11"/>
        <v>0</v>
      </c>
      <c r="AD54" s="54">
        <f t="shared" si="49"/>
        <v>0.15</v>
      </c>
      <c r="AE54" s="52">
        <f t="shared" si="12"/>
        <v>6300</v>
      </c>
      <c r="AF54" s="52">
        <f t="shared" si="33"/>
        <v>0</v>
      </c>
      <c r="AG54" s="52">
        <f t="shared" si="34"/>
        <v>0</v>
      </c>
      <c r="AH54" s="52">
        <f t="shared" si="13"/>
        <v>0</v>
      </c>
      <c r="AI54" s="53">
        <f t="shared" si="35"/>
        <v>0</v>
      </c>
      <c r="AK54" s="58">
        <f t="shared" si="36"/>
        <v>27</v>
      </c>
      <c r="AL54" s="52">
        <f t="shared" si="36"/>
        <v>49</v>
      </c>
      <c r="AM54" s="52">
        <f t="shared" si="14"/>
        <v>1</v>
      </c>
      <c r="AN54" s="54">
        <f t="shared" si="15"/>
        <v>0.13500000000000001</v>
      </c>
      <c r="AO54" s="54">
        <f t="shared" si="16"/>
        <v>0.18</v>
      </c>
      <c r="AP54" s="207">
        <f t="shared" si="37"/>
        <v>6300</v>
      </c>
      <c r="AQ54" s="52">
        <f t="shared" si="38"/>
        <v>41874.598664645906</v>
      </c>
      <c r="AR54" s="52">
        <f t="shared" si="39"/>
        <v>945</v>
      </c>
      <c r="AS54" s="48">
        <f t="shared" si="40"/>
        <v>1674.9839465858363</v>
      </c>
      <c r="AT54" s="53">
        <f t="shared" si="41"/>
        <v>44494.582611231745</v>
      </c>
      <c r="AV54" s="58">
        <f t="shared" si="17"/>
        <v>27</v>
      </c>
      <c r="AW54" s="52">
        <f t="shared" si="17"/>
        <v>49</v>
      </c>
      <c r="AX54" s="48">
        <v>1</v>
      </c>
      <c r="AY54" s="54">
        <f t="shared" si="18"/>
        <v>0.13500000000000001</v>
      </c>
      <c r="AZ54" s="54">
        <f t="shared" si="19"/>
        <v>0.18</v>
      </c>
      <c r="BA54" s="207">
        <f t="shared" si="42"/>
        <v>6300</v>
      </c>
      <c r="BB54" s="52">
        <f t="shared" si="43"/>
        <v>41874.598664645906</v>
      </c>
      <c r="BC54" s="48">
        <f t="shared" si="44"/>
        <v>945</v>
      </c>
      <c r="BD54" s="48">
        <f t="shared" si="45"/>
        <v>1674.9839465858363</v>
      </c>
      <c r="BE54" s="53">
        <f t="shared" si="46"/>
        <v>44494.582611231745</v>
      </c>
    </row>
    <row r="55" spans="2:57" ht="15.75" thickTop="1" thickBot="1">
      <c r="B55" s="58">
        <f t="shared" si="50"/>
        <v>28</v>
      </c>
      <c r="C55" s="52">
        <f t="shared" si="50"/>
        <v>49</v>
      </c>
      <c r="D55" s="185">
        <f t="shared" si="47"/>
        <v>1</v>
      </c>
      <c r="E55" s="48">
        <f t="shared" si="21"/>
        <v>700</v>
      </c>
      <c r="F55" s="205">
        <f t="shared" si="22"/>
        <v>9</v>
      </c>
      <c r="G55" s="192">
        <f t="shared" si="23"/>
        <v>6300</v>
      </c>
      <c r="I55" s="58">
        <f t="shared" si="24"/>
        <v>28</v>
      </c>
      <c r="J55" s="74">
        <f t="shared" si="25"/>
        <v>49</v>
      </c>
      <c r="K55" s="74">
        <f t="shared" si="3"/>
        <v>9</v>
      </c>
      <c r="L55" s="125">
        <f t="shared" si="26"/>
        <v>4500</v>
      </c>
      <c r="M55" s="74">
        <f t="shared" si="4"/>
        <v>1800</v>
      </c>
      <c r="N55" s="74">
        <f t="shared" si="27"/>
        <v>6300</v>
      </c>
      <c r="O55" s="180">
        <f t="shared" si="28"/>
        <v>700</v>
      </c>
      <c r="Q55" s="58">
        <f t="shared" si="5"/>
        <v>28</v>
      </c>
      <c r="R55" s="52">
        <f t="shared" si="6"/>
        <v>50</v>
      </c>
      <c r="S55" s="52">
        <f t="shared" si="7"/>
        <v>1</v>
      </c>
      <c r="T55" s="54">
        <f t="shared" si="48"/>
        <v>0.1</v>
      </c>
      <c r="U55" s="52">
        <f t="shared" si="8"/>
        <v>1800</v>
      </c>
      <c r="V55" s="52">
        <f t="shared" si="29"/>
        <v>8475.1585926155731</v>
      </c>
      <c r="W55" s="52">
        <f t="shared" si="30"/>
        <v>180</v>
      </c>
      <c r="X55" s="87">
        <f t="shared" si="31"/>
        <v>339.00634370462291</v>
      </c>
      <c r="Y55" s="53">
        <f t="shared" si="32"/>
        <v>8994.1649363201959</v>
      </c>
      <c r="AA55" s="58">
        <f t="shared" si="9"/>
        <v>28</v>
      </c>
      <c r="AB55" s="52">
        <f t="shared" si="10"/>
        <v>50</v>
      </c>
      <c r="AC55" s="52">
        <f t="shared" si="11"/>
        <v>0</v>
      </c>
      <c r="AD55" s="54">
        <f t="shared" si="49"/>
        <v>0.15</v>
      </c>
      <c r="AE55" s="52">
        <f t="shared" si="12"/>
        <v>6300</v>
      </c>
      <c r="AF55" s="52">
        <f t="shared" si="33"/>
        <v>0</v>
      </c>
      <c r="AG55" s="52">
        <f t="shared" si="34"/>
        <v>0</v>
      </c>
      <c r="AH55" s="52">
        <f t="shared" si="13"/>
        <v>0</v>
      </c>
      <c r="AI55" s="53">
        <f t="shared" si="35"/>
        <v>0</v>
      </c>
      <c r="AK55" s="58">
        <f t="shared" si="36"/>
        <v>28</v>
      </c>
      <c r="AL55" s="52">
        <f t="shared" si="36"/>
        <v>50</v>
      </c>
      <c r="AM55" s="52">
        <f t="shared" si="14"/>
        <v>1</v>
      </c>
      <c r="AN55" s="54">
        <f t="shared" si="15"/>
        <v>0.13500000000000001</v>
      </c>
      <c r="AO55" s="54">
        <f t="shared" si="16"/>
        <v>0.18</v>
      </c>
      <c r="AP55" s="207">
        <f t="shared" si="37"/>
        <v>6300</v>
      </c>
      <c r="AQ55" s="52">
        <f t="shared" si="38"/>
        <v>44494.582611231745</v>
      </c>
      <c r="AR55" s="52">
        <f t="shared" si="39"/>
        <v>945</v>
      </c>
      <c r="AS55" s="48">
        <f t="shared" si="40"/>
        <v>1779.7833044492697</v>
      </c>
      <c r="AT55" s="53">
        <f t="shared" si="41"/>
        <v>47219.365915681017</v>
      </c>
      <c r="AV55" s="58">
        <f t="shared" si="17"/>
        <v>28</v>
      </c>
      <c r="AW55" s="52">
        <f t="shared" si="17"/>
        <v>50</v>
      </c>
      <c r="AX55" s="48">
        <v>1</v>
      </c>
      <c r="AY55" s="54">
        <f t="shared" si="18"/>
        <v>0.13500000000000001</v>
      </c>
      <c r="AZ55" s="54">
        <f t="shared" si="19"/>
        <v>0.18</v>
      </c>
      <c r="BA55" s="207">
        <f t="shared" si="42"/>
        <v>6300</v>
      </c>
      <c r="BB55" s="52">
        <f t="shared" si="43"/>
        <v>44494.582611231745</v>
      </c>
      <c r="BC55" s="48">
        <f t="shared" si="44"/>
        <v>945</v>
      </c>
      <c r="BD55" s="48">
        <f t="shared" si="45"/>
        <v>1779.7833044492697</v>
      </c>
      <c r="BE55" s="53">
        <f t="shared" si="46"/>
        <v>47219.365915681017</v>
      </c>
    </row>
    <row r="56" spans="2:57" ht="15.75" thickTop="1" thickBot="1">
      <c r="B56" s="58">
        <f t="shared" si="50"/>
        <v>29</v>
      </c>
      <c r="C56" s="52">
        <f t="shared" si="50"/>
        <v>50</v>
      </c>
      <c r="D56" s="185">
        <f t="shared" si="47"/>
        <v>1</v>
      </c>
      <c r="E56" s="48">
        <f t="shared" si="21"/>
        <v>700</v>
      </c>
      <c r="F56" s="205">
        <f t="shared" si="22"/>
        <v>9</v>
      </c>
      <c r="G56" s="192">
        <f t="shared" si="23"/>
        <v>6300</v>
      </c>
      <c r="I56" s="58">
        <f t="shared" si="24"/>
        <v>29</v>
      </c>
      <c r="J56" s="74">
        <f t="shared" si="25"/>
        <v>50</v>
      </c>
      <c r="K56" s="74">
        <f t="shared" si="3"/>
        <v>9</v>
      </c>
      <c r="L56" s="125">
        <f t="shared" si="26"/>
        <v>4500</v>
      </c>
      <c r="M56" s="74">
        <f t="shared" si="4"/>
        <v>1800</v>
      </c>
      <c r="N56" s="74">
        <f t="shared" si="27"/>
        <v>6300</v>
      </c>
      <c r="O56" s="180">
        <f t="shared" si="28"/>
        <v>700</v>
      </c>
      <c r="Q56" s="58">
        <f t="shared" si="5"/>
        <v>29</v>
      </c>
      <c r="R56" s="52">
        <f t="shared" si="6"/>
        <v>51</v>
      </c>
      <c r="S56" s="52">
        <f t="shared" si="7"/>
        <v>1</v>
      </c>
      <c r="T56" s="54">
        <f t="shared" si="48"/>
        <v>0.1</v>
      </c>
      <c r="U56" s="52">
        <f t="shared" si="8"/>
        <v>1800</v>
      </c>
      <c r="V56" s="52">
        <f t="shared" si="29"/>
        <v>8994.1649363201959</v>
      </c>
      <c r="W56" s="52">
        <f t="shared" si="30"/>
        <v>180</v>
      </c>
      <c r="X56" s="87">
        <f t="shared" si="31"/>
        <v>359.76659745280784</v>
      </c>
      <c r="Y56" s="53">
        <f t="shared" si="32"/>
        <v>9533.931533773004</v>
      </c>
      <c r="AA56" s="58">
        <f t="shared" si="9"/>
        <v>29</v>
      </c>
      <c r="AB56" s="52">
        <f t="shared" si="10"/>
        <v>51</v>
      </c>
      <c r="AC56" s="52">
        <f t="shared" si="11"/>
        <v>0</v>
      </c>
      <c r="AD56" s="54">
        <f t="shared" si="49"/>
        <v>0.15</v>
      </c>
      <c r="AE56" s="52">
        <f t="shared" si="12"/>
        <v>6300</v>
      </c>
      <c r="AF56" s="52">
        <f t="shared" si="33"/>
        <v>0</v>
      </c>
      <c r="AG56" s="52">
        <f t="shared" si="34"/>
        <v>0</v>
      </c>
      <c r="AH56" s="52">
        <f t="shared" si="13"/>
        <v>0</v>
      </c>
      <c r="AI56" s="53">
        <f t="shared" si="35"/>
        <v>0</v>
      </c>
      <c r="AK56" s="58">
        <f t="shared" si="36"/>
        <v>29</v>
      </c>
      <c r="AL56" s="52">
        <f t="shared" si="36"/>
        <v>51</v>
      </c>
      <c r="AM56" s="52">
        <f t="shared" si="14"/>
        <v>1</v>
      </c>
      <c r="AN56" s="54">
        <f t="shared" si="15"/>
        <v>0.13500000000000001</v>
      </c>
      <c r="AO56" s="54">
        <f t="shared" si="16"/>
        <v>0.18</v>
      </c>
      <c r="AP56" s="207">
        <f t="shared" si="37"/>
        <v>6300</v>
      </c>
      <c r="AQ56" s="52">
        <f t="shared" si="38"/>
        <v>47219.365915681017</v>
      </c>
      <c r="AR56" s="52">
        <f t="shared" si="39"/>
        <v>945</v>
      </c>
      <c r="AS56" s="48">
        <f t="shared" si="40"/>
        <v>1888.7746366272406</v>
      </c>
      <c r="AT56" s="53">
        <f t="shared" si="41"/>
        <v>50053.140552308258</v>
      </c>
      <c r="AV56" s="58">
        <f t="shared" si="17"/>
        <v>29</v>
      </c>
      <c r="AW56" s="52">
        <f t="shared" si="17"/>
        <v>51</v>
      </c>
      <c r="AX56" s="48">
        <v>1</v>
      </c>
      <c r="AY56" s="54">
        <f t="shared" si="18"/>
        <v>0.13500000000000001</v>
      </c>
      <c r="AZ56" s="54">
        <f t="shared" si="19"/>
        <v>0.18</v>
      </c>
      <c r="BA56" s="207">
        <f t="shared" si="42"/>
        <v>6300</v>
      </c>
      <c r="BB56" s="52">
        <f t="shared" si="43"/>
        <v>47219.365915681017</v>
      </c>
      <c r="BC56" s="48">
        <f t="shared" si="44"/>
        <v>945</v>
      </c>
      <c r="BD56" s="48">
        <f t="shared" si="45"/>
        <v>1888.7746366272406</v>
      </c>
      <c r="BE56" s="53">
        <f t="shared" si="46"/>
        <v>50053.140552308258</v>
      </c>
    </row>
    <row r="57" spans="2:57" ht="15.75" thickTop="1" thickBot="1">
      <c r="B57" s="58">
        <f t="shared" si="50"/>
        <v>30</v>
      </c>
      <c r="C57" s="52">
        <f t="shared" si="50"/>
        <v>51</v>
      </c>
      <c r="D57" s="185">
        <f t="shared" si="47"/>
        <v>1</v>
      </c>
      <c r="E57" s="48">
        <f t="shared" si="21"/>
        <v>700</v>
      </c>
      <c r="F57" s="205">
        <f t="shared" si="22"/>
        <v>9</v>
      </c>
      <c r="G57" s="192">
        <f t="shared" si="23"/>
        <v>6300</v>
      </c>
      <c r="I57" s="58">
        <f t="shared" si="24"/>
        <v>30</v>
      </c>
      <c r="J57" s="74">
        <f t="shared" si="25"/>
        <v>51</v>
      </c>
      <c r="K57" s="74">
        <f t="shared" si="3"/>
        <v>9</v>
      </c>
      <c r="L57" s="125">
        <f t="shared" si="26"/>
        <v>4500</v>
      </c>
      <c r="M57" s="74">
        <f t="shared" si="4"/>
        <v>1800</v>
      </c>
      <c r="N57" s="74">
        <f t="shared" si="27"/>
        <v>6300</v>
      </c>
      <c r="O57" s="180">
        <f t="shared" si="28"/>
        <v>700</v>
      </c>
      <c r="Q57" s="58">
        <f t="shared" si="5"/>
        <v>30</v>
      </c>
      <c r="R57" s="52">
        <f t="shared" si="6"/>
        <v>52</v>
      </c>
      <c r="S57" s="52">
        <f t="shared" si="7"/>
        <v>1</v>
      </c>
      <c r="T57" s="54">
        <f t="shared" si="48"/>
        <v>0.1</v>
      </c>
      <c r="U57" s="52">
        <f t="shared" si="8"/>
        <v>1800</v>
      </c>
      <c r="V57" s="52">
        <f t="shared" si="29"/>
        <v>9533.931533773004</v>
      </c>
      <c r="W57" s="52">
        <f t="shared" si="30"/>
        <v>180</v>
      </c>
      <c r="X57" s="87">
        <f t="shared" si="31"/>
        <v>381.35726135092017</v>
      </c>
      <c r="Y57" s="53">
        <f t="shared" si="32"/>
        <v>10095.288795123925</v>
      </c>
      <c r="AA57" s="58">
        <f t="shared" si="9"/>
        <v>30</v>
      </c>
      <c r="AB57" s="52">
        <f t="shared" si="10"/>
        <v>52</v>
      </c>
      <c r="AC57" s="52">
        <f t="shared" si="11"/>
        <v>0</v>
      </c>
      <c r="AD57" s="54">
        <f t="shared" si="49"/>
        <v>0.15</v>
      </c>
      <c r="AE57" s="52">
        <f t="shared" si="12"/>
        <v>6300</v>
      </c>
      <c r="AF57" s="52">
        <f t="shared" si="33"/>
        <v>0</v>
      </c>
      <c r="AG57" s="52">
        <f t="shared" si="34"/>
        <v>0</v>
      </c>
      <c r="AH57" s="52">
        <f t="shared" si="13"/>
        <v>0</v>
      </c>
      <c r="AI57" s="53">
        <f t="shared" si="35"/>
        <v>0</v>
      </c>
      <c r="AK57" s="58">
        <f t="shared" si="36"/>
        <v>30</v>
      </c>
      <c r="AL57" s="52">
        <f t="shared" si="36"/>
        <v>52</v>
      </c>
      <c r="AM57" s="52">
        <f t="shared" si="14"/>
        <v>1</v>
      </c>
      <c r="AN57" s="54">
        <f t="shared" si="15"/>
        <v>0.13500000000000001</v>
      </c>
      <c r="AO57" s="54">
        <f t="shared" si="16"/>
        <v>0.18</v>
      </c>
      <c r="AP57" s="207">
        <f t="shared" si="37"/>
        <v>6300</v>
      </c>
      <c r="AQ57" s="52">
        <f t="shared" si="38"/>
        <v>50053.140552308258</v>
      </c>
      <c r="AR57" s="52">
        <f t="shared" si="39"/>
        <v>945</v>
      </c>
      <c r="AS57" s="48">
        <f t="shared" si="40"/>
        <v>2002.1256220923303</v>
      </c>
      <c r="AT57" s="53">
        <f t="shared" si="41"/>
        <v>53000.266174400589</v>
      </c>
      <c r="AV57" s="58">
        <f t="shared" si="17"/>
        <v>30</v>
      </c>
      <c r="AW57" s="52">
        <f t="shared" si="17"/>
        <v>52</v>
      </c>
      <c r="AX57" s="48">
        <v>1</v>
      </c>
      <c r="AY57" s="54">
        <f t="shared" si="18"/>
        <v>0.13500000000000001</v>
      </c>
      <c r="AZ57" s="54">
        <f t="shared" si="19"/>
        <v>0.18</v>
      </c>
      <c r="BA57" s="207">
        <f t="shared" si="42"/>
        <v>6300</v>
      </c>
      <c r="BB57" s="52">
        <f t="shared" si="43"/>
        <v>50053.140552308258</v>
      </c>
      <c r="BC57" s="48">
        <f t="shared" si="44"/>
        <v>945</v>
      </c>
      <c r="BD57" s="48">
        <f t="shared" si="45"/>
        <v>2002.1256220923303</v>
      </c>
      <c r="BE57" s="53">
        <f t="shared" si="46"/>
        <v>53000.266174400589</v>
      </c>
    </row>
    <row r="58" spans="2:57" ht="15.75" thickTop="1" thickBot="1">
      <c r="B58" s="58">
        <f t="shared" si="50"/>
        <v>31</v>
      </c>
      <c r="C58" s="52">
        <f t="shared" si="50"/>
        <v>52</v>
      </c>
      <c r="D58" s="185">
        <f t="shared" si="47"/>
        <v>1</v>
      </c>
      <c r="E58" s="48">
        <f t="shared" si="21"/>
        <v>700</v>
      </c>
      <c r="F58" s="205">
        <f t="shared" si="22"/>
        <v>9</v>
      </c>
      <c r="G58" s="192">
        <f t="shared" si="23"/>
        <v>6300</v>
      </c>
      <c r="I58" s="58">
        <f t="shared" si="24"/>
        <v>31</v>
      </c>
      <c r="J58" s="74">
        <f t="shared" si="25"/>
        <v>52</v>
      </c>
      <c r="K58" s="74">
        <f t="shared" si="3"/>
        <v>9</v>
      </c>
      <c r="L58" s="125">
        <f t="shared" si="26"/>
        <v>4500</v>
      </c>
      <c r="M58" s="74">
        <f t="shared" si="4"/>
        <v>1800</v>
      </c>
      <c r="N58" s="74">
        <f t="shared" si="27"/>
        <v>6300</v>
      </c>
      <c r="O58" s="180">
        <f t="shared" si="28"/>
        <v>700</v>
      </c>
      <c r="Q58" s="58">
        <f t="shared" si="5"/>
        <v>31</v>
      </c>
      <c r="R58" s="52">
        <f t="shared" si="6"/>
        <v>53</v>
      </c>
      <c r="S58" s="52">
        <f t="shared" si="7"/>
        <v>1</v>
      </c>
      <c r="T58" s="54">
        <f t="shared" si="48"/>
        <v>0.1</v>
      </c>
      <c r="U58" s="52">
        <f t="shared" si="8"/>
        <v>1800</v>
      </c>
      <c r="V58" s="52">
        <f t="shared" si="29"/>
        <v>10095.288795123925</v>
      </c>
      <c r="W58" s="52">
        <f t="shared" si="30"/>
        <v>180</v>
      </c>
      <c r="X58" s="87">
        <f t="shared" si="31"/>
        <v>403.81155180495699</v>
      </c>
      <c r="Y58" s="53">
        <f t="shared" si="32"/>
        <v>10679.100346928881</v>
      </c>
      <c r="AA58" s="58">
        <f t="shared" si="9"/>
        <v>31</v>
      </c>
      <c r="AB58" s="52">
        <f t="shared" si="10"/>
        <v>53</v>
      </c>
      <c r="AC58" s="52">
        <f t="shared" si="11"/>
        <v>0</v>
      </c>
      <c r="AD58" s="54">
        <f t="shared" si="49"/>
        <v>0.15</v>
      </c>
      <c r="AE58" s="52">
        <f t="shared" si="12"/>
        <v>6300</v>
      </c>
      <c r="AF58" s="52">
        <f t="shared" si="33"/>
        <v>0</v>
      </c>
      <c r="AG58" s="52">
        <f t="shared" si="34"/>
        <v>0</v>
      </c>
      <c r="AH58" s="52">
        <f t="shared" si="13"/>
        <v>0</v>
      </c>
      <c r="AI58" s="53">
        <f t="shared" si="35"/>
        <v>0</v>
      </c>
      <c r="AK58" s="58">
        <f t="shared" si="36"/>
        <v>31</v>
      </c>
      <c r="AL58" s="52">
        <f t="shared" si="36"/>
        <v>53</v>
      </c>
      <c r="AM58" s="52">
        <f t="shared" si="14"/>
        <v>1</v>
      </c>
      <c r="AN58" s="54">
        <f t="shared" si="15"/>
        <v>0.13500000000000001</v>
      </c>
      <c r="AO58" s="54">
        <f t="shared" si="16"/>
        <v>0.18</v>
      </c>
      <c r="AP58" s="207">
        <f t="shared" si="37"/>
        <v>6300</v>
      </c>
      <c r="AQ58" s="52">
        <f t="shared" si="38"/>
        <v>53000.266174400589</v>
      </c>
      <c r="AR58" s="52">
        <f t="shared" si="39"/>
        <v>945</v>
      </c>
      <c r="AS58" s="48">
        <f t="shared" si="40"/>
        <v>2120.0106469760235</v>
      </c>
      <c r="AT58" s="53">
        <f t="shared" si="41"/>
        <v>56065.27682137661</v>
      </c>
      <c r="AV58" s="58">
        <f t="shared" si="17"/>
        <v>31</v>
      </c>
      <c r="AW58" s="52">
        <f t="shared" si="17"/>
        <v>53</v>
      </c>
      <c r="AX58" s="48">
        <v>1</v>
      </c>
      <c r="AY58" s="54">
        <f t="shared" si="18"/>
        <v>0.13500000000000001</v>
      </c>
      <c r="AZ58" s="54">
        <f t="shared" si="19"/>
        <v>0.18</v>
      </c>
      <c r="BA58" s="207">
        <f t="shared" si="42"/>
        <v>6300</v>
      </c>
      <c r="BB58" s="52">
        <f t="shared" si="43"/>
        <v>53000.266174400589</v>
      </c>
      <c r="BC58" s="48">
        <f t="shared" si="44"/>
        <v>945</v>
      </c>
      <c r="BD58" s="48">
        <f t="shared" si="45"/>
        <v>2120.0106469760235</v>
      </c>
      <c r="BE58" s="53">
        <f t="shared" si="46"/>
        <v>56065.27682137661</v>
      </c>
    </row>
    <row r="59" spans="2:57" ht="15.75" thickTop="1" thickBot="1">
      <c r="B59" s="124">
        <f t="shared" si="50"/>
        <v>32</v>
      </c>
      <c r="C59" s="125">
        <f t="shared" si="50"/>
        <v>53</v>
      </c>
      <c r="D59" s="185">
        <f t="shared" si="47"/>
        <v>1</v>
      </c>
      <c r="E59" s="48">
        <f t="shared" si="21"/>
        <v>700</v>
      </c>
      <c r="F59" s="205">
        <f t="shared" si="22"/>
        <v>9</v>
      </c>
      <c r="G59" s="192">
        <f t="shared" si="23"/>
        <v>6300</v>
      </c>
      <c r="I59" s="58">
        <f t="shared" si="24"/>
        <v>32</v>
      </c>
      <c r="J59" s="74">
        <f t="shared" si="25"/>
        <v>53</v>
      </c>
      <c r="K59" s="74">
        <f t="shared" si="3"/>
        <v>9</v>
      </c>
      <c r="L59" s="125">
        <f t="shared" si="26"/>
        <v>4500</v>
      </c>
      <c r="M59" s="74">
        <f t="shared" si="4"/>
        <v>1800</v>
      </c>
      <c r="N59" s="74">
        <f t="shared" si="27"/>
        <v>6300</v>
      </c>
      <c r="O59" s="180">
        <f t="shared" si="28"/>
        <v>700</v>
      </c>
      <c r="Q59" s="58">
        <f t="shared" si="5"/>
        <v>32</v>
      </c>
      <c r="R59" s="52">
        <f t="shared" si="6"/>
        <v>54</v>
      </c>
      <c r="S59" s="52">
        <f t="shared" si="7"/>
        <v>1</v>
      </c>
      <c r="T59" s="54">
        <f t="shared" si="48"/>
        <v>0.1</v>
      </c>
      <c r="U59" s="52">
        <f t="shared" si="8"/>
        <v>1800</v>
      </c>
      <c r="V59" s="52">
        <f t="shared" si="29"/>
        <v>10679.100346928881</v>
      </c>
      <c r="W59" s="52">
        <f t="shared" si="30"/>
        <v>180</v>
      </c>
      <c r="X59" s="87">
        <f t="shared" si="31"/>
        <v>427.16401387715524</v>
      </c>
      <c r="Y59" s="53">
        <f t="shared" si="32"/>
        <v>11286.264360806035</v>
      </c>
      <c r="AA59" s="58">
        <f t="shared" si="9"/>
        <v>32</v>
      </c>
      <c r="AB59" s="52">
        <f t="shared" si="10"/>
        <v>54</v>
      </c>
      <c r="AC59" s="52">
        <f t="shared" si="11"/>
        <v>0</v>
      </c>
      <c r="AD59" s="54">
        <f t="shared" si="49"/>
        <v>0.15</v>
      </c>
      <c r="AE59" s="52">
        <f t="shared" si="12"/>
        <v>6300</v>
      </c>
      <c r="AF59" s="52">
        <f t="shared" si="33"/>
        <v>0</v>
      </c>
      <c r="AG59" s="52">
        <f t="shared" si="34"/>
        <v>0</v>
      </c>
      <c r="AH59" s="52">
        <f t="shared" si="13"/>
        <v>0</v>
      </c>
      <c r="AI59" s="53">
        <f t="shared" si="35"/>
        <v>0</v>
      </c>
      <c r="AK59" s="58">
        <f t="shared" si="36"/>
        <v>32</v>
      </c>
      <c r="AL59" s="52">
        <f t="shared" si="36"/>
        <v>54</v>
      </c>
      <c r="AM59" s="52">
        <f t="shared" si="14"/>
        <v>1</v>
      </c>
      <c r="AN59" s="54">
        <f t="shared" si="15"/>
        <v>0.13500000000000001</v>
      </c>
      <c r="AO59" s="54">
        <f t="shared" si="16"/>
        <v>0.18</v>
      </c>
      <c r="AP59" s="207">
        <f t="shared" si="37"/>
        <v>6300</v>
      </c>
      <c r="AQ59" s="52">
        <f t="shared" si="38"/>
        <v>56065.27682137661</v>
      </c>
      <c r="AR59" s="52">
        <f t="shared" si="39"/>
        <v>945</v>
      </c>
      <c r="AS59" s="48">
        <f t="shared" si="40"/>
        <v>2242.6110728550643</v>
      </c>
      <c r="AT59" s="53">
        <f t="shared" si="41"/>
        <v>59252.887894231673</v>
      </c>
      <c r="AV59" s="58">
        <f t="shared" si="17"/>
        <v>32</v>
      </c>
      <c r="AW59" s="52">
        <f t="shared" si="17"/>
        <v>54</v>
      </c>
      <c r="AX59" s="48">
        <v>1</v>
      </c>
      <c r="AY59" s="54">
        <f t="shared" si="18"/>
        <v>0.13500000000000001</v>
      </c>
      <c r="AZ59" s="54">
        <f t="shared" si="19"/>
        <v>0.18</v>
      </c>
      <c r="BA59" s="207">
        <f t="shared" si="42"/>
        <v>6300</v>
      </c>
      <c r="BB59" s="52">
        <f t="shared" si="43"/>
        <v>56065.27682137661</v>
      </c>
      <c r="BC59" s="48">
        <f t="shared" si="44"/>
        <v>945</v>
      </c>
      <c r="BD59" s="48">
        <f t="shared" si="45"/>
        <v>2242.6110728550643</v>
      </c>
      <c r="BE59" s="53">
        <f t="shared" si="46"/>
        <v>59252.887894231673</v>
      </c>
    </row>
    <row r="60" spans="2:57" ht="15.75" thickTop="1" thickBot="1">
      <c r="B60" s="124">
        <f t="shared" si="50"/>
        <v>33</v>
      </c>
      <c r="C60" s="125">
        <f t="shared" si="50"/>
        <v>54</v>
      </c>
      <c r="D60" s="185">
        <f t="shared" si="47"/>
        <v>1</v>
      </c>
      <c r="E60" s="48">
        <f t="shared" si="21"/>
        <v>700</v>
      </c>
      <c r="F60" s="205">
        <f t="shared" si="22"/>
        <v>9</v>
      </c>
      <c r="G60" s="192">
        <f t="shared" si="23"/>
        <v>6300</v>
      </c>
      <c r="I60" s="124">
        <f t="shared" si="24"/>
        <v>33</v>
      </c>
      <c r="J60" s="129">
        <f t="shared" si="25"/>
        <v>54</v>
      </c>
      <c r="K60" s="129">
        <f t="shared" si="3"/>
        <v>9</v>
      </c>
      <c r="L60" s="125">
        <f t="shared" si="26"/>
        <v>4500</v>
      </c>
      <c r="M60" s="74">
        <f t="shared" si="4"/>
        <v>1800</v>
      </c>
      <c r="N60" s="74">
        <f t="shared" si="27"/>
        <v>6300</v>
      </c>
      <c r="O60" s="180">
        <f t="shared" si="28"/>
        <v>700</v>
      </c>
      <c r="Q60" s="124">
        <f t="shared" si="5"/>
        <v>33</v>
      </c>
      <c r="R60" s="125">
        <f t="shared" si="6"/>
        <v>55</v>
      </c>
      <c r="S60" s="52">
        <f t="shared" si="7"/>
        <v>1</v>
      </c>
      <c r="T60" s="126">
        <f t="shared" si="48"/>
        <v>0.1</v>
      </c>
      <c r="U60" s="52">
        <f t="shared" si="8"/>
        <v>1800</v>
      </c>
      <c r="V60" s="125">
        <f t="shared" si="29"/>
        <v>11286.264360806035</v>
      </c>
      <c r="W60" s="52">
        <f t="shared" si="30"/>
        <v>180</v>
      </c>
      <c r="X60" s="87">
        <f t="shared" si="31"/>
        <v>451.45057443224141</v>
      </c>
      <c r="Y60" s="128">
        <f t="shared" si="32"/>
        <v>11917.714935238277</v>
      </c>
      <c r="AA60" s="124">
        <f t="shared" si="9"/>
        <v>33</v>
      </c>
      <c r="AB60" s="125">
        <f t="shared" si="10"/>
        <v>55</v>
      </c>
      <c r="AC60" s="125">
        <f t="shared" si="11"/>
        <v>0</v>
      </c>
      <c r="AD60" s="126">
        <f t="shared" si="49"/>
        <v>0.15</v>
      </c>
      <c r="AE60" s="125">
        <f t="shared" si="12"/>
        <v>6300</v>
      </c>
      <c r="AF60" s="125">
        <f t="shared" si="33"/>
        <v>0</v>
      </c>
      <c r="AG60" s="125">
        <f t="shared" si="34"/>
        <v>0</v>
      </c>
      <c r="AH60" s="125">
        <f t="shared" si="13"/>
        <v>0</v>
      </c>
      <c r="AI60" s="128">
        <f t="shared" si="35"/>
        <v>0</v>
      </c>
      <c r="AK60" s="124">
        <f t="shared" si="36"/>
        <v>33</v>
      </c>
      <c r="AL60" s="125">
        <f t="shared" si="36"/>
        <v>55</v>
      </c>
      <c r="AM60" s="125">
        <f t="shared" si="14"/>
        <v>1</v>
      </c>
      <c r="AN60" s="126">
        <f t="shared" si="15"/>
        <v>0.13500000000000001</v>
      </c>
      <c r="AO60" s="126">
        <f t="shared" si="16"/>
        <v>0.18</v>
      </c>
      <c r="AP60" s="207">
        <f t="shared" si="37"/>
        <v>6300</v>
      </c>
      <c r="AQ60" s="125">
        <f t="shared" si="38"/>
        <v>59252.887894231673</v>
      </c>
      <c r="AR60" s="52">
        <f t="shared" si="39"/>
        <v>945</v>
      </c>
      <c r="AS60" s="48">
        <f t="shared" si="40"/>
        <v>2370.1155157692669</v>
      </c>
      <c r="AT60" s="128">
        <f t="shared" si="41"/>
        <v>62568.003410000943</v>
      </c>
      <c r="AV60" s="124">
        <f t="shared" ref="AV60:AW76" si="51">+AK60</f>
        <v>33</v>
      </c>
      <c r="AW60" s="125">
        <f t="shared" si="51"/>
        <v>55</v>
      </c>
      <c r="AX60" s="48">
        <v>1</v>
      </c>
      <c r="AY60" s="126">
        <f t="shared" si="18"/>
        <v>0.13500000000000001</v>
      </c>
      <c r="AZ60" s="126">
        <f t="shared" si="19"/>
        <v>0.18</v>
      </c>
      <c r="BA60" s="207">
        <f t="shared" si="42"/>
        <v>6300</v>
      </c>
      <c r="BB60" s="125">
        <f t="shared" si="43"/>
        <v>59252.887894231673</v>
      </c>
      <c r="BC60" s="48">
        <f t="shared" si="44"/>
        <v>945</v>
      </c>
      <c r="BD60" s="48">
        <f t="shared" si="45"/>
        <v>2370.1155157692669</v>
      </c>
      <c r="BE60" s="128">
        <f t="shared" si="46"/>
        <v>62568.003410000943</v>
      </c>
    </row>
    <row r="61" spans="2:57" ht="15.75" thickTop="1" thickBot="1">
      <c r="B61" s="58">
        <f t="shared" ref="B61:C76" si="52">+B60+1</f>
        <v>34</v>
      </c>
      <c r="C61" s="52">
        <f t="shared" si="52"/>
        <v>55</v>
      </c>
      <c r="D61" s="185">
        <f t="shared" si="47"/>
        <v>1</v>
      </c>
      <c r="E61" s="48">
        <f t="shared" si="21"/>
        <v>700</v>
      </c>
      <c r="F61" s="205">
        <f t="shared" si="22"/>
        <v>9</v>
      </c>
      <c r="G61" s="192">
        <f t="shared" si="23"/>
        <v>6300</v>
      </c>
      <c r="I61" s="58">
        <f t="shared" si="24"/>
        <v>34</v>
      </c>
      <c r="J61" s="74">
        <f t="shared" si="25"/>
        <v>55</v>
      </c>
      <c r="K61" s="74">
        <f t="shared" si="3"/>
        <v>9</v>
      </c>
      <c r="L61" s="125">
        <f t="shared" si="26"/>
        <v>4500</v>
      </c>
      <c r="M61" s="74">
        <f t="shared" si="4"/>
        <v>1800</v>
      </c>
      <c r="N61" s="74">
        <f t="shared" si="27"/>
        <v>6300</v>
      </c>
      <c r="O61" s="180">
        <f t="shared" si="28"/>
        <v>700</v>
      </c>
      <c r="Q61" s="58">
        <f t="shared" si="5"/>
        <v>34</v>
      </c>
      <c r="R61" s="52">
        <f t="shared" si="6"/>
        <v>56</v>
      </c>
      <c r="S61" s="52">
        <f t="shared" si="7"/>
        <v>1</v>
      </c>
      <c r="T61" s="54">
        <f t="shared" si="48"/>
        <v>0.1</v>
      </c>
      <c r="U61" s="52">
        <f t="shared" si="8"/>
        <v>1800</v>
      </c>
      <c r="V61" s="52">
        <f t="shared" si="29"/>
        <v>11917.714935238277</v>
      </c>
      <c r="W61" s="52">
        <f t="shared" si="30"/>
        <v>180</v>
      </c>
      <c r="X61" s="87">
        <f t="shared" si="31"/>
        <v>476.70859740953108</v>
      </c>
      <c r="Y61" s="53">
        <f t="shared" si="32"/>
        <v>12574.423532647808</v>
      </c>
      <c r="AA61" s="58">
        <f t="shared" si="9"/>
        <v>34</v>
      </c>
      <c r="AB61" s="52">
        <f t="shared" si="10"/>
        <v>56</v>
      </c>
      <c r="AC61" s="52">
        <f t="shared" si="11"/>
        <v>0</v>
      </c>
      <c r="AD61" s="54">
        <f t="shared" si="49"/>
        <v>0.15</v>
      </c>
      <c r="AE61" s="52">
        <f t="shared" si="12"/>
        <v>6300</v>
      </c>
      <c r="AF61" s="52">
        <f t="shared" si="33"/>
        <v>0</v>
      </c>
      <c r="AG61" s="52">
        <f t="shared" si="34"/>
        <v>0</v>
      </c>
      <c r="AH61" s="52">
        <f t="shared" si="13"/>
        <v>0</v>
      </c>
      <c r="AI61" s="53">
        <f t="shared" si="35"/>
        <v>0</v>
      </c>
      <c r="AK61" s="58">
        <f t="shared" si="36"/>
        <v>34</v>
      </c>
      <c r="AL61" s="52">
        <f t="shared" si="36"/>
        <v>56</v>
      </c>
      <c r="AM61" s="52">
        <f t="shared" si="14"/>
        <v>1</v>
      </c>
      <c r="AN61" s="54">
        <f t="shared" si="15"/>
        <v>0.13500000000000001</v>
      </c>
      <c r="AO61" s="54">
        <f t="shared" si="16"/>
        <v>0.18</v>
      </c>
      <c r="AP61" s="207">
        <f t="shared" si="37"/>
        <v>6300</v>
      </c>
      <c r="AQ61" s="52">
        <f t="shared" si="38"/>
        <v>62568.003410000943</v>
      </c>
      <c r="AR61" s="52">
        <f t="shared" si="39"/>
        <v>945</v>
      </c>
      <c r="AS61" s="48">
        <f t="shared" si="40"/>
        <v>2502.720136400038</v>
      </c>
      <c r="AT61" s="53">
        <f t="shared" si="41"/>
        <v>66015.723546400986</v>
      </c>
      <c r="AV61" s="58">
        <f t="shared" si="51"/>
        <v>34</v>
      </c>
      <c r="AW61" s="52">
        <f t="shared" si="51"/>
        <v>56</v>
      </c>
      <c r="AX61" s="48">
        <v>1</v>
      </c>
      <c r="AY61" s="54">
        <f t="shared" si="18"/>
        <v>0.13500000000000001</v>
      </c>
      <c r="AZ61" s="54">
        <f t="shared" si="19"/>
        <v>0.18</v>
      </c>
      <c r="BA61" s="207">
        <f t="shared" si="42"/>
        <v>6300</v>
      </c>
      <c r="BB61" s="52">
        <f t="shared" si="43"/>
        <v>62568.003410000943</v>
      </c>
      <c r="BC61" s="48">
        <f t="shared" si="44"/>
        <v>945</v>
      </c>
      <c r="BD61" s="48">
        <f t="shared" si="45"/>
        <v>2502.720136400038</v>
      </c>
      <c r="BE61" s="53">
        <f t="shared" si="46"/>
        <v>66015.723546400986</v>
      </c>
    </row>
    <row r="62" spans="2:57" ht="15.75" thickTop="1" thickBot="1">
      <c r="B62" s="58">
        <f t="shared" si="52"/>
        <v>35</v>
      </c>
      <c r="C62" s="52">
        <f t="shared" si="52"/>
        <v>56</v>
      </c>
      <c r="D62" s="185">
        <f t="shared" si="47"/>
        <v>1</v>
      </c>
      <c r="E62" s="48">
        <f t="shared" si="21"/>
        <v>700</v>
      </c>
      <c r="F62" s="205">
        <f t="shared" si="22"/>
        <v>9</v>
      </c>
      <c r="G62" s="192">
        <f t="shared" si="23"/>
        <v>6300</v>
      </c>
      <c r="I62" s="58">
        <f t="shared" si="24"/>
        <v>35</v>
      </c>
      <c r="J62" s="74">
        <f t="shared" si="25"/>
        <v>56</v>
      </c>
      <c r="K62" s="74">
        <f t="shared" si="3"/>
        <v>9</v>
      </c>
      <c r="L62" s="52">
        <f t="shared" si="26"/>
        <v>4500</v>
      </c>
      <c r="M62" s="74">
        <f t="shared" si="4"/>
        <v>1800</v>
      </c>
      <c r="N62" s="74">
        <f t="shared" si="27"/>
        <v>6300</v>
      </c>
      <c r="O62" s="180">
        <f t="shared" si="28"/>
        <v>700</v>
      </c>
      <c r="Q62" s="58">
        <f t="shared" si="5"/>
        <v>35</v>
      </c>
      <c r="R62" s="52">
        <f t="shared" si="6"/>
        <v>57</v>
      </c>
      <c r="S62" s="52">
        <f t="shared" si="7"/>
        <v>1</v>
      </c>
      <c r="T62" s="54">
        <f t="shared" si="48"/>
        <v>0.1</v>
      </c>
      <c r="U62" s="52">
        <f t="shared" si="8"/>
        <v>1800</v>
      </c>
      <c r="V62" s="52">
        <f t="shared" si="29"/>
        <v>12574.423532647808</v>
      </c>
      <c r="W62" s="52">
        <f t="shared" si="30"/>
        <v>180</v>
      </c>
      <c r="X62" s="87">
        <f t="shared" si="31"/>
        <v>502.97694130591236</v>
      </c>
      <c r="Y62" s="53">
        <f t="shared" si="32"/>
        <v>13257.400473953721</v>
      </c>
      <c r="AA62" s="58">
        <f t="shared" si="9"/>
        <v>35</v>
      </c>
      <c r="AB62" s="52">
        <f t="shared" si="10"/>
        <v>57</v>
      </c>
      <c r="AC62" s="52">
        <f t="shared" si="11"/>
        <v>0</v>
      </c>
      <c r="AD62" s="54">
        <f t="shared" si="49"/>
        <v>0.15</v>
      </c>
      <c r="AE62" s="52">
        <f t="shared" si="12"/>
        <v>6300</v>
      </c>
      <c r="AF62" s="52">
        <f t="shared" si="33"/>
        <v>0</v>
      </c>
      <c r="AG62" s="52">
        <f t="shared" si="34"/>
        <v>0</v>
      </c>
      <c r="AH62" s="52">
        <f t="shared" si="13"/>
        <v>0</v>
      </c>
      <c r="AI62" s="53">
        <f t="shared" si="35"/>
        <v>0</v>
      </c>
      <c r="AK62" s="58">
        <f t="shared" si="36"/>
        <v>35</v>
      </c>
      <c r="AL62" s="52">
        <f t="shared" si="36"/>
        <v>57</v>
      </c>
      <c r="AM62" s="52">
        <f t="shared" si="14"/>
        <v>1</v>
      </c>
      <c r="AN62" s="54">
        <f t="shared" si="15"/>
        <v>0.13500000000000001</v>
      </c>
      <c r="AO62" s="54">
        <f t="shared" si="16"/>
        <v>0.18</v>
      </c>
      <c r="AP62" s="207">
        <f t="shared" si="37"/>
        <v>6300</v>
      </c>
      <c r="AQ62" s="52">
        <f t="shared" si="38"/>
        <v>66015.723546400986</v>
      </c>
      <c r="AR62" s="52">
        <f t="shared" si="39"/>
        <v>945</v>
      </c>
      <c r="AS62" s="48">
        <f t="shared" si="40"/>
        <v>2640.6289418560395</v>
      </c>
      <c r="AT62" s="53">
        <f t="shared" si="41"/>
        <v>69601.35248825702</v>
      </c>
      <c r="AV62" s="58">
        <f t="shared" si="51"/>
        <v>35</v>
      </c>
      <c r="AW62" s="52">
        <f t="shared" si="51"/>
        <v>57</v>
      </c>
      <c r="AX62" s="48">
        <v>1</v>
      </c>
      <c r="AY62" s="54">
        <f t="shared" si="18"/>
        <v>0.13500000000000001</v>
      </c>
      <c r="AZ62" s="54">
        <f t="shared" si="19"/>
        <v>0.18</v>
      </c>
      <c r="BA62" s="207">
        <f t="shared" si="42"/>
        <v>6300</v>
      </c>
      <c r="BB62" s="52">
        <f t="shared" si="43"/>
        <v>66015.723546400986</v>
      </c>
      <c r="BC62" s="48">
        <f t="shared" si="44"/>
        <v>945</v>
      </c>
      <c r="BD62" s="48">
        <f t="shared" si="45"/>
        <v>2640.6289418560395</v>
      </c>
      <c r="BE62" s="53">
        <f t="shared" si="46"/>
        <v>69601.35248825702</v>
      </c>
    </row>
    <row r="63" spans="2:57" ht="15.75" thickTop="1" thickBot="1">
      <c r="B63" s="58">
        <f t="shared" si="52"/>
        <v>36</v>
      </c>
      <c r="C63" s="52">
        <f t="shared" si="52"/>
        <v>57</v>
      </c>
      <c r="D63" s="185">
        <f t="shared" si="47"/>
        <v>1</v>
      </c>
      <c r="E63" s="48">
        <f t="shared" si="21"/>
        <v>700</v>
      </c>
      <c r="F63" s="205">
        <f t="shared" si="22"/>
        <v>9</v>
      </c>
      <c r="G63" s="192">
        <f t="shared" si="23"/>
        <v>6300</v>
      </c>
      <c r="I63" s="58">
        <f t="shared" si="24"/>
        <v>36</v>
      </c>
      <c r="J63" s="74">
        <f t="shared" si="25"/>
        <v>57</v>
      </c>
      <c r="K63" s="74">
        <f t="shared" si="3"/>
        <v>9</v>
      </c>
      <c r="L63" s="52">
        <f t="shared" si="26"/>
        <v>4500</v>
      </c>
      <c r="M63" s="74">
        <f t="shared" si="4"/>
        <v>1800</v>
      </c>
      <c r="N63" s="74">
        <f t="shared" si="27"/>
        <v>6300</v>
      </c>
      <c r="O63" s="180">
        <f t="shared" si="28"/>
        <v>700</v>
      </c>
      <c r="Q63" s="58">
        <f t="shared" si="5"/>
        <v>36</v>
      </c>
      <c r="R63" s="52">
        <f t="shared" si="6"/>
        <v>58</v>
      </c>
      <c r="S63" s="52">
        <f t="shared" si="7"/>
        <v>1</v>
      </c>
      <c r="T63" s="54">
        <f t="shared" si="48"/>
        <v>0.1</v>
      </c>
      <c r="U63" s="52">
        <f t="shared" si="8"/>
        <v>1800</v>
      </c>
      <c r="V63" s="52">
        <f t="shared" si="29"/>
        <v>13257.400473953721</v>
      </c>
      <c r="W63" s="52">
        <f t="shared" si="30"/>
        <v>180</v>
      </c>
      <c r="X63" s="87">
        <f t="shared" si="31"/>
        <v>530.29601895814881</v>
      </c>
      <c r="Y63" s="53">
        <f t="shared" si="32"/>
        <v>13967.696492911869</v>
      </c>
      <c r="AA63" s="58">
        <f t="shared" si="9"/>
        <v>36</v>
      </c>
      <c r="AB63" s="52">
        <f t="shared" si="10"/>
        <v>58</v>
      </c>
      <c r="AC63" s="52">
        <f t="shared" si="11"/>
        <v>0</v>
      </c>
      <c r="AD63" s="54">
        <f t="shared" si="49"/>
        <v>0.15</v>
      </c>
      <c r="AE63" s="52">
        <f t="shared" si="12"/>
        <v>6300</v>
      </c>
      <c r="AF63" s="52">
        <f t="shared" si="33"/>
        <v>0</v>
      </c>
      <c r="AG63" s="52">
        <f t="shared" si="34"/>
        <v>0</v>
      </c>
      <c r="AH63" s="52">
        <f t="shared" si="13"/>
        <v>0</v>
      </c>
      <c r="AI63" s="53">
        <f t="shared" si="35"/>
        <v>0</v>
      </c>
      <c r="AK63" s="58">
        <f t="shared" si="36"/>
        <v>36</v>
      </c>
      <c r="AL63" s="52">
        <f t="shared" si="36"/>
        <v>58</v>
      </c>
      <c r="AM63" s="52">
        <f t="shared" si="14"/>
        <v>1</v>
      </c>
      <c r="AN63" s="54">
        <f t="shared" si="15"/>
        <v>0.13500000000000001</v>
      </c>
      <c r="AO63" s="54">
        <f t="shared" si="16"/>
        <v>0.18</v>
      </c>
      <c r="AP63" s="207">
        <f t="shared" si="37"/>
        <v>6300</v>
      </c>
      <c r="AQ63" s="52">
        <f t="shared" si="38"/>
        <v>69601.35248825702</v>
      </c>
      <c r="AR63" s="52">
        <f t="shared" si="39"/>
        <v>945</v>
      </c>
      <c r="AS63" s="48">
        <f t="shared" si="40"/>
        <v>2784.0540995302808</v>
      </c>
      <c r="AT63" s="53">
        <f t="shared" si="41"/>
        <v>73330.406587787307</v>
      </c>
      <c r="AV63" s="58">
        <f t="shared" si="51"/>
        <v>36</v>
      </c>
      <c r="AW63" s="52">
        <f t="shared" si="51"/>
        <v>58</v>
      </c>
      <c r="AX63" s="48">
        <v>1</v>
      </c>
      <c r="AY63" s="54">
        <f t="shared" si="18"/>
        <v>0.13500000000000001</v>
      </c>
      <c r="AZ63" s="54">
        <f t="shared" si="19"/>
        <v>0.18</v>
      </c>
      <c r="BA63" s="207">
        <f t="shared" si="42"/>
        <v>6300</v>
      </c>
      <c r="BB63" s="52">
        <f t="shared" si="43"/>
        <v>69601.35248825702</v>
      </c>
      <c r="BC63" s="48">
        <f t="shared" si="44"/>
        <v>945</v>
      </c>
      <c r="BD63" s="48">
        <f t="shared" si="45"/>
        <v>2784.0540995302808</v>
      </c>
      <c r="BE63" s="53">
        <f t="shared" si="46"/>
        <v>73330.406587787307</v>
      </c>
    </row>
    <row r="64" spans="2:57" customFormat="1" ht="15.75" thickTop="1" thickBot="1">
      <c r="B64" s="124">
        <f t="shared" si="52"/>
        <v>37</v>
      </c>
      <c r="C64" s="125">
        <f t="shared" si="52"/>
        <v>58</v>
      </c>
      <c r="D64" s="186">
        <f t="shared" si="47"/>
        <v>1</v>
      </c>
      <c r="E64" s="127">
        <f t="shared" si="21"/>
        <v>700</v>
      </c>
      <c r="F64" s="229">
        <f t="shared" si="22"/>
        <v>9</v>
      </c>
      <c r="G64" s="192">
        <f t="shared" si="23"/>
        <v>6300</v>
      </c>
      <c r="I64" s="124">
        <f t="shared" si="24"/>
        <v>37</v>
      </c>
      <c r="J64" s="129">
        <f t="shared" si="25"/>
        <v>58</v>
      </c>
      <c r="K64" s="129">
        <f t="shared" si="3"/>
        <v>9</v>
      </c>
      <c r="L64" s="125">
        <f t="shared" si="26"/>
        <v>4500</v>
      </c>
      <c r="M64" s="129">
        <f t="shared" si="4"/>
        <v>1800</v>
      </c>
      <c r="N64" s="129">
        <f t="shared" si="27"/>
        <v>6300</v>
      </c>
      <c r="O64" s="180">
        <f t="shared" si="28"/>
        <v>700</v>
      </c>
      <c r="Q64" s="124">
        <f t="shared" si="5"/>
        <v>37</v>
      </c>
      <c r="R64" s="125">
        <f t="shared" si="6"/>
        <v>59</v>
      </c>
      <c r="S64" s="125">
        <f t="shared" si="7"/>
        <v>1</v>
      </c>
      <c r="T64" s="126">
        <f t="shared" si="48"/>
        <v>0.1</v>
      </c>
      <c r="U64" s="125">
        <f t="shared" si="8"/>
        <v>1800</v>
      </c>
      <c r="V64" s="125">
        <f t="shared" si="29"/>
        <v>13967.696492911869</v>
      </c>
      <c r="W64" s="125">
        <f t="shared" si="30"/>
        <v>180</v>
      </c>
      <c r="X64" s="234">
        <f t="shared" si="31"/>
        <v>558.70785971647479</v>
      </c>
      <c r="Y64" s="128">
        <f t="shared" si="32"/>
        <v>14706.404352628344</v>
      </c>
      <c r="AA64" s="124">
        <f t="shared" si="9"/>
        <v>37</v>
      </c>
      <c r="AB64" s="125">
        <f t="shared" si="10"/>
        <v>59</v>
      </c>
      <c r="AC64" s="125">
        <f t="shared" si="11"/>
        <v>0</v>
      </c>
      <c r="AD64" s="126">
        <f t="shared" si="49"/>
        <v>0.15</v>
      </c>
      <c r="AE64" s="125">
        <f t="shared" si="12"/>
        <v>6300</v>
      </c>
      <c r="AF64" s="125">
        <f t="shared" si="33"/>
        <v>0</v>
      </c>
      <c r="AG64" s="125">
        <f t="shared" si="34"/>
        <v>0</v>
      </c>
      <c r="AH64" s="125">
        <f t="shared" si="13"/>
        <v>0</v>
      </c>
      <c r="AI64" s="128">
        <f t="shared" si="35"/>
        <v>0</v>
      </c>
      <c r="AK64" s="124">
        <f t="shared" si="36"/>
        <v>37</v>
      </c>
      <c r="AL64" s="125">
        <f t="shared" si="36"/>
        <v>59</v>
      </c>
      <c r="AM64" s="125">
        <f t="shared" si="14"/>
        <v>1</v>
      </c>
      <c r="AN64" s="126">
        <f t="shared" si="15"/>
        <v>0.13500000000000001</v>
      </c>
      <c r="AO64" s="126">
        <f t="shared" si="16"/>
        <v>0.18</v>
      </c>
      <c r="AP64" s="230">
        <f t="shared" si="37"/>
        <v>6300</v>
      </c>
      <c r="AQ64" s="125">
        <f t="shared" si="38"/>
        <v>73330.406587787307</v>
      </c>
      <c r="AR64" s="125">
        <f t="shared" si="39"/>
        <v>945</v>
      </c>
      <c r="AS64" s="127">
        <f t="shared" si="40"/>
        <v>2933.2162635114923</v>
      </c>
      <c r="AT64" s="128">
        <f t="shared" si="41"/>
        <v>77208.622851298802</v>
      </c>
      <c r="AV64" s="124">
        <f t="shared" si="51"/>
        <v>37</v>
      </c>
      <c r="AW64" s="125">
        <f t="shared" si="51"/>
        <v>59</v>
      </c>
      <c r="AX64" s="127">
        <v>1</v>
      </c>
      <c r="AY64" s="126">
        <f t="shared" si="18"/>
        <v>0.13500000000000001</v>
      </c>
      <c r="AZ64" s="126">
        <f t="shared" si="19"/>
        <v>0.18</v>
      </c>
      <c r="BA64" s="230">
        <f t="shared" si="42"/>
        <v>6300</v>
      </c>
      <c r="BB64" s="125">
        <f t="shared" si="43"/>
        <v>73330.406587787307</v>
      </c>
      <c r="BC64" s="127">
        <f t="shared" si="44"/>
        <v>945</v>
      </c>
      <c r="BD64" s="127">
        <f t="shared" si="45"/>
        <v>2933.2162635114923</v>
      </c>
      <c r="BE64" s="128">
        <f t="shared" si="46"/>
        <v>77208.622851298802</v>
      </c>
    </row>
    <row r="65" spans="2:59" ht="15.75" thickTop="1" thickBot="1">
      <c r="B65" s="124">
        <f t="shared" si="52"/>
        <v>38</v>
      </c>
      <c r="C65" s="125">
        <f t="shared" si="52"/>
        <v>59</v>
      </c>
      <c r="D65" s="186">
        <f t="shared" si="47"/>
        <v>1</v>
      </c>
      <c r="E65" s="48">
        <f t="shared" si="21"/>
        <v>700</v>
      </c>
      <c r="F65" s="205">
        <f t="shared" si="22"/>
        <v>9</v>
      </c>
      <c r="G65" s="192">
        <f t="shared" si="23"/>
        <v>6300</v>
      </c>
      <c r="H65"/>
      <c r="I65" s="124">
        <f t="shared" si="24"/>
        <v>38</v>
      </c>
      <c r="J65" s="129">
        <f t="shared" si="25"/>
        <v>59</v>
      </c>
      <c r="K65" s="129">
        <f t="shared" si="3"/>
        <v>9</v>
      </c>
      <c r="L65" s="125">
        <f t="shared" si="26"/>
        <v>4500</v>
      </c>
      <c r="M65" s="129">
        <f t="shared" si="4"/>
        <v>1800</v>
      </c>
      <c r="N65" s="129">
        <f t="shared" si="27"/>
        <v>6300</v>
      </c>
      <c r="O65" s="180">
        <f t="shared" si="28"/>
        <v>700</v>
      </c>
      <c r="P65"/>
      <c r="Q65" s="124">
        <f t="shared" si="5"/>
        <v>38</v>
      </c>
      <c r="R65" s="125">
        <f t="shared" si="6"/>
        <v>60</v>
      </c>
      <c r="S65" s="125">
        <f t="shared" si="7"/>
        <v>1</v>
      </c>
      <c r="T65" s="126">
        <f t="shared" si="48"/>
        <v>0.1</v>
      </c>
      <c r="U65" s="125">
        <f t="shared" si="8"/>
        <v>1800</v>
      </c>
      <c r="V65" s="125">
        <f t="shared" si="29"/>
        <v>14706.404352628344</v>
      </c>
      <c r="W65" s="125">
        <f t="shared" si="30"/>
        <v>180</v>
      </c>
      <c r="X65" s="87">
        <f t="shared" si="31"/>
        <v>588.25617410513382</v>
      </c>
      <c r="Y65" s="128">
        <f t="shared" si="32"/>
        <v>15474.660526733478</v>
      </c>
      <c r="Z65"/>
      <c r="AA65" s="124">
        <f t="shared" si="9"/>
        <v>38</v>
      </c>
      <c r="AB65" s="125">
        <f t="shared" si="10"/>
        <v>60</v>
      </c>
      <c r="AC65" s="125">
        <f t="shared" si="11"/>
        <v>0</v>
      </c>
      <c r="AD65" s="126">
        <f t="shared" si="49"/>
        <v>0.15</v>
      </c>
      <c r="AE65" s="125">
        <f t="shared" si="12"/>
        <v>6300</v>
      </c>
      <c r="AF65" s="125">
        <f t="shared" si="33"/>
        <v>0</v>
      </c>
      <c r="AG65" s="125">
        <f t="shared" si="34"/>
        <v>0</v>
      </c>
      <c r="AH65" s="125">
        <f t="shared" si="13"/>
        <v>0</v>
      </c>
      <c r="AI65" s="128">
        <f t="shared" si="35"/>
        <v>0</v>
      </c>
      <c r="AK65" s="124">
        <f t="shared" si="36"/>
        <v>38</v>
      </c>
      <c r="AL65" s="125">
        <f t="shared" si="36"/>
        <v>60</v>
      </c>
      <c r="AM65" s="125">
        <f t="shared" si="14"/>
        <v>1</v>
      </c>
      <c r="AN65" s="126">
        <f t="shared" si="15"/>
        <v>0.13500000000000001</v>
      </c>
      <c r="AO65" s="126">
        <f t="shared" si="16"/>
        <v>0.18</v>
      </c>
      <c r="AP65" s="230">
        <f t="shared" si="37"/>
        <v>6300</v>
      </c>
      <c r="AQ65" s="125">
        <f t="shared" si="38"/>
        <v>77208.622851298802</v>
      </c>
      <c r="AR65" s="125">
        <f t="shared" si="39"/>
        <v>945</v>
      </c>
      <c r="AS65" s="127">
        <f t="shared" si="40"/>
        <v>3088.3449140519519</v>
      </c>
      <c r="AT65" s="128">
        <f t="shared" si="41"/>
        <v>81241.967765350753</v>
      </c>
      <c r="AU65"/>
      <c r="AV65" s="124">
        <f t="shared" si="51"/>
        <v>38</v>
      </c>
      <c r="AW65" s="125">
        <f t="shared" si="51"/>
        <v>60</v>
      </c>
      <c r="AX65" s="127">
        <v>1</v>
      </c>
      <c r="AY65" s="126">
        <f t="shared" si="18"/>
        <v>0.13500000000000001</v>
      </c>
      <c r="AZ65" s="126">
        <f t="shared" si="19"/>
        <v>0.18</v>
      </c>
      <c r="BA65" s="230">
        <f t="shared" si="42"/>
        <v>6300</v>
      </c>
      <c r="BB65" s="125">
        <f t="shared" si="43"/>
        <v>77208.622851298802</v>
      </c>
      <c r="BC65" s="127">
        <f t="shared" si="44"/>
        <v>945</v>
      </c>
      <c r="BD65" s="127">
        <f t="shared" si="45"/>
        <v>3088.3449140519519</v>
      </c>
      <c r="BE65" s="128">
        <f t="shared" si="46"/>
        <v>81241.967765350753</v>
      </c>
      <c r="BG65"/>
    </row>
    <row r="66" spans="2:59" ht="15.75" thickTop="1" thickBot="1">
      <c r="B66" s="124">
        <f t="shared" si="52"/>
        <v>39</v>
      </c>
      <c r="C66" s="125">
        <f t="shared" si="52"/>
        <v>60</v>
      </c>
      <c r="D66" s="185">
        <f t="shared" si="47"/>
        <v>1</v>
      </c>
      <c r="E66" s="48">
        <f t="shared" si="21"/>
        <v>700</v>
      </c>
      <c r="F66" s="205">
        <f t="shared" si="22"/>
        <v>9</v>
      </c>
      <c r="G66" s="192">
        <f t="shared" si="23"/>
        <v>6300</v>
      </c>
      <c r="I66" s="124">
        <f t="shared" si="24"/>
        <v>39</v>
      </c>
      <c r="J66" s="129">
        <f t="shared" si="25"/>
        <v>60</v>
      </c>
      <c r="K66" s="129">
        <f t="shared" si="3"/>
        <v>9</v>
      </c>
      <c r="L66" s="125">
        <f t="shared" si="26"/>
        <v>4500</v>
      </c>
      <c r="M66" s="129">
        <f t="shared" si="4"/>
        <v>1800</v>
      </c>
      <c r="N66" s="129">
        <f t="shared" si="27"/>
        <v>6300</v>
      </c>
      <c r="O66" s="180">
        <f t="shared" si="28"/>
        <v>700</v>
      </c>
      <c r="Q66" s="124">
        <f t="shared" si="5"/>
        <v>39</v>
      </c>
      <c r="R66" s="125">
        <f t="shared" si="6"/>
        <v>61</v>
      </c>
      <c r="S66" s="125">
        <f t="shared" si="7"/>
        <v>1</v>
      </c>
      <c r="T66" s="126">
        <f t="shared" si="48"/>
        <v>0.1</v>
      </c>
      <c r="U66" s="125">
        <f t="shared" si="8"/>
        <v>1800</v>
      </c>
      <c r="V66" s="125">
        <f t="shared" si="29"/>
        <v>15474.660526733478</v>
      </c>
      <c r="W66" s="125">
        <f t="shared" si="30"/>
        <v>180</v>
      </c>
      <c r="X66" s="87">
        <f t="shared" si="31"/>
        <v>618.98642106933914</v>
      </c>
      <c r="Y66" s="128">
        <f t="shared" si="32"/>
        <v>16273.646947802818</v>
      </c>
      <c r="AA66" s="124">
        <f t="shared" si="9"/>
        <v>39</v>
      </c>
      <c r="AB66" s="125">
        <f t="shared" si="10"/>
        <v>61</v>
      </c>
      <c r="AC66" s="125">
        <f t="shared" si="11"/>
        <v>0</v>
      </c>
      <c r="AD66" s="126">
        <f t="shared" si="49"/>
        <v>0.15</v>
      </c>
      <c r="AE66" s="125">
        <f t="shared" si="12"/>
        <v>6300</v>
      </c>
      <c r="AF66" s="125">
        <f t="shared" si="33"/>
        <v>0</v>
      </c>
      <c r="AG66" s="125">
        <f t="shared" si="34"/>
        <v>0</v>
      </c>
      <c r="AH66" s="125">
        <f t="shared" si="13"/>
        <v>0</v>
      </c>
      <c r="AI66" s="128">
        <f t="shared" si="35"/>
        <v>0</v>
      </c>
      <c r="AK66" s="124">
        <f t="shared" si="36"/>
        <v>39</v>
      </c>
      <c r="AL66" s="125">
        <f t="shared" si="36"/>
        <v>61</v>
      </c>
      <c r="AM66" s="125">
        <v>1</v>
      </c>
      <c r="AN66" s="126">
        <f t="shared" si="15"/>
        <v>0.13500000000000001</v>
      </c>
      <c r="AO66" s="126">
        <f t="shared" si="16"/>
        <v>0.18</v>
      </c>
      <c r="AP66" s="207">
        <f t="shared" si="37"/>
        <v>6300</v>
      </c>
      <c r="AQ66" s="125">
        <f t="shared" si="38"/>
        <v>81241.967765350753</v>
      </c>
      <c r="AR66" s="52">
        <f t="shared" si="39"/>
        <v>945</v>
      </c>
      <c r="AS66" s="48">
        <f t="shared" si="40"/>
        <v>3249.67871061403</v>
      </c>
      <c r="AT66" s="128">
        <f t="shared" si="41"/>
        <v>85436.646475964779</v>
      </c>
      <c r="AV66" s="124">
        <f t="shared" si="51"/>
        <v>39</v>
      </c>
      <c r="AW66" s="125">
        <f t="shared" si="51"/>
        <v>61</v>
      </c>
      <c r="AX66" s="127">
        <v>1</v>
      </c>
      <c r="AY66" s="126">
        <f t="shared" si="18"/>
        <v>0.13500000000000001</v>
      </c>
      <c r="AZ66" s="126">
        <f t="shared" si="19"/>
        <v>0.18</v>
      </c>
      <c r="BA66" s="207">
        <f t="shared" si="42"/>
        <v>6300</v>
      </c>
      <c r="BB66" s="125">
        <f t="shared" si="43"/>
        <v>81241.967765350753</v>
      </c>
      <c r="BC66" s="48">
        <f t="shared" si="44"/>
        <v>945</v>
      </c>
      <c r="BD66" s="48">
        <f t="shared" si="45"/>
        <v>3249.67871061403</v>
      </c>
      <c r="BE66" s="128">
        <f t="shared" si="46"/>
        <v>85436.646475964779</v>
      </c>
    </row>
    <row r="67" spans="2:59" s="1" customFormat="1" ht="15.75" thickTop="1" thickBot="1">
      <c r="B67" s="157">
        <f t="shared" si="52"/>
        <v>40</v>
      </c>
      <c r="C67" s="158">
        <f t="shared" si="52"/>
        <v>61</v>
      </c>
      <c r="D67" s="187">
        <f t="shared" si="47"/>
        <v>1</v>
      </c>
      <c r="E67" s="183">
        <f t="shared" si="21"/>
        <v>700</v>
      </c>
      <c r="F67" s="206">
        <f t="shared" si="22"/>
        <v>9</v>
      </c>
      <c r="G67" s="232">
        <f t="shared" si="23"/>
        <v>6300</v>
      </c>
      <c r="I67" s="157">
        <f t="shared" si="24"/>
        <v>40</v>
      </c>
      <c r="J67" s="161">
        <f t="shared" si="25"/>
        <v>61</v>
      </c>
      <c r="K67" s="161">
        <f t="shared" si="3"/>
        <v>9</v>
      </c>
      <c r="L67" s="158">
        <f t="shared" si="26"/>
        <v>4500</v>
      </c>
      <c r="M67" s="161">
        <f t="shared" si="4"/>
        <v>1800</v>
      </c>
      <c r="N67" s="161">
        <f t="shared" si="27"/>
        <v>6300</v>
      </c>
      <c r="O67" s="182">
        <f t="shared" si="28"/>
        <v>700</v>
      </c>
      <c r="Q67" s="157">
        <f t="shared" si="5"/>
        <v>40</v>
      </c>
      <c r="R67" s="158">
        <f t="shared" si="6"/>
        <v>62</v>
      </c>
      <c r="S67" s="158">
        <v>1</v>
      </c>
      <c r="T67" s="159">
        <f t="shared" si="48"/>
        <v>0.1</v>
      </c>
      <c r="U67" s="158">
        <f t="shared" si="8"/>
        <v>1800</v>
      </c>
      <c r="V67" s="158">
        <f t="shared" si="29"/>
        <v>16273.646947802818</v>
      </c>
      <c r="W67" s="158">
        <f t="shared" si="30"/>
        <v>180</v>
      </c>
      <c r="X67" s="233">
        <f t="shared" si="31"/>
        <v>650.94587791211268</v>
      </c>
      <c r="Y67" s="160">
        <f t="shared" si="32"/>
        <v>17104.592825714928</v>
      </c>
      <c r="AA67" s="157">
        <f t="shared" si="9"/>
        <v>40</v>
      </c>
      <c r="AB67" s="158">
        <f t="shared" si="10"/>
        <v>62</v>
      </c>
      <c r="AC67" s="158">
        <f t="shared" si="11"/>
        <v>0</v>
      </c>
      <c r="AD67" s="159">
        <f t="shared" si="49"/>
        <v>0.15</v>
      </c>
      <c r="AE67" s="158">
        <f t="shared" si="12"/>
        <v>6300</v>
      </c>
      <c r="AF67" s="158">
        <f t="shared" si="33"/>
        <v>0</v>
      </c>
      <c r="AG67" s="158">
        <f t="shared" si="34"/>
        <v>0</v>
      </c>
      <c r="AH67" s="158">
        <f t="shared" si="13"/>
        <v>0</v>
      </c>
      <c r="AI67" s="160">
        <f t="shared" si="35"/>
        <v>0</v>
      </c>
      <c r="AK67" s="157">
        <f t="shared" si="36"/>
        <v>40</v>
      </c>
      <c r="AL67" s="158">
        <f t="shared" si="36"/>
        <v>62</v>
      </c>
      <c r="AM67" s="158">
        <v>1</v>
      </c>
      <c r="AN67" s="159">
        <f t="shared" si="15"/>
        <v>0.13500000000000001</v>
      </c>
      <c r="AO67" s="159">
        <f t="shared" si="16"/>
        <v>0.18</v>
      </c>
      <c r="AP67" s="228">
        <f t="shared" si="37"/>
        <v>6300</v>
      </c>
      <c r="AQ67" s="158">
        <f t="shared" si="38"/>
        <v>85436.646475964779</v>
      </c>
      <c r="AR67" s="158">
        <f t="shared" si="39"/>
        <v>945</v>
      </c>
      <c r="AS67" s="183">
        <f t="shared" si="40"/>
        <v>3417.4658590385911</v>
      </c>
      <c r="AT67" s="160">
        <f t="shared" si="41"/>
        <v>89799.112335003374</v>
      </c>
      <c r="AV67" s="157">
        <f t="shared" si="51"/>
        <v>40</v>
      </c>
      <c r="AW67" s="158">
        <f t="shared" si="51"/>
        <v>62</v>
      </c>
      <c r="AX67" s="183">
        <v>1</v>
      </c>
      <c r="AY67" s="159">
        <f t="shared" si="18"/>
        <v>0.13500000000000001</v>
      </c>
      <c r="AZ67" s="159">
        <f t="shared" si="19"/>
        <v>0.18</v>
      </c>
      <c r="BA67" s="228">
        <f t="shared" si="42"/>
        <v>6300</v>
      </c>
      <c r="BB67" s="158">
        <f t="shared" si="43"/>
        <v>85436.646475964779</v>
      </c>
      <c r="BC67" s="183">
        <f t="shared" si="44"/>
        <v>945</v>
      </c>
      <c r="BD67" s="183">
        <f t="shared" si="45"/>
        <v>3417.4658590385911</v>
      </c>
      <c r="BE67" s="160">
        <f t="shared" si="46"/>
        <v>89799.112335003374</v>
      </c>
    </row>
    <row r="68" spans="2:59" ht="15.75" thickTop="1" thickBot="1">
      <c r="B68" s="58">
        <f t="shared" si="52"/>
        <v>41</v>
      </c>
      <c r="C68" s="52">
        <f t="shared" si="52"/>
        <v>62</v>
      </c>
      <c r="D68" s="185">
        <f t="shared" si="47"/>
        <v>1</v>
      </c>
      <c r="E68" s="48">
        <f t="shared" si="21"/>
        <v>0</v>
      </c>
      <c r="F68" s="205">
        <f t="shared" si="22"/>
        <v>0</v>
      </c>
      <c r="G68" s="192">
        <f t="shared" si="23"/>
        <v>0</v>
      </c>
      <c r="I68" s="58">
        <f t="shared" si="24"/>
        <v>41</v>
      </c>
      <c r="J68" s="74">
        <f t="shared" si="25"/>
        <v>62</v>
      </c>
      <c r="K68" s="74">
        <f t="shared" si="3"/>
        <v>0</v>
      </c>
      <c r="L68" s="52">
        <f t="shared" si="26"/>
        <v>0</v>
      </c>
      <c r="M68" s="74">
        <f t="shared" si="4"/>
        <v>0</v>
      </c>
      <c r="N68" s="74">
        <f t="shared" si="27"/>
        <v>0</v>
      </c>
      <c r="O68" s="180">
        <f t="shared" si="28"/>
        <v>0</v>
      </c>
      <c r="Q68" s="58">
        <f t="shared" si="5"/>
        <v>41</v>
      </c>
      <c r="R68" s="52">
        <f t="shared" si="6"/>
        <v>63</v>
      </c>
      <c r="S68" s="52">
        <f t="shared" si="7"/>
        <v>0</v>
      </c>
      <c r="T68" s="54">
        <f t="shared" si="48"/>
        <v>0.1</v>
      </c>
      <c r="U68" s="52">
        <f t="shared" si="8"/>
        <v>0</v>
      </c>
      <c r="V68" s="52">
        <f t="shared" si="29"/>
        <v>17104.592825714928</v>
      </c>
      <c r="W68" s="52">
        <f t="shared" si="30"/>
        <v>0</v>
      </c>
      <c r="X68" s="87">
        <f t="shared" si="31"/>
        <v>684.18371302859714</v>
      </c>
      <c r="Y68" s="53">
        <f t="shared" si="32"/>
        <v>17788.776538743525</v>
      </c>
      <c r="AA68" s="58">
        <f t="shared" si="9"/>
        <v>41</v>
      </c>
      <c r="AB68" s="52">
        <f t="shared" si="10"/>
        <v>63</v>
      </c>
      <c r="AC68" s="52">
        <f t="shared" si="11"/>
        <v>0</v>
      </c>
      <c r="AD68" s="54">
        <f t="shared" si="49"/>
        <v>0.15</v>
      </c>
      <c r="AE68" s="52">
        <f t="shared" si="12"/>
        <v>0</v>
      </c>
      <c r="AF68" s="52">
        <f t="shared" si="33"/>
        <v>0</v>
      </c>
      <c r="AG68" s="52">
        <f t="shared" si="34"/>
        <v>0</v>
      </c>
      <c r="AH68" s="52">
        <f t="shared" si="13"/>
        <v>0</v>
      </c>
      <c r="AI68" s="53">
        <f t="shared" si="35"/>
        <v>0</v>
      </c>
      <c r="AK68" s="58">
        <f t="shared" si="36"/>
        <v>41</v>
      </c>
      <c r="AL68" s="52">
        <f t="shared" si="36"/>
        <v>63</v>
      </c>
      <c r="AM68" s="52">
        <v>0</v>
      </c>
      <c r="AN68" s="54">
        <f t="shared" si="15"/>
        <v>0</v>
      </c>
      <c r="AO68" s="54">
        <f t="shared" si="16"/>
        <v>0</v>
      </c>
      <c r="AP68" s="207">
        <f t="shared" si="37"/>
        <v>0</v>
      </c>
      <c r="AQ68" s="52">
        <f t="shared" si="38"/>
        <v>89799.112335003374</v>
      </c>
      <c r="AR68" s="52">
        <f t="shared" si="39"/>
        <v>0</v>
      </c>
      <c r="AS68" s="48">
        <f t="shared" si="40"/>
        <v>3591.9644934001349</v>
      </c>
      <c r="AT68" s="53">
        <f t="shared" si="41"/>
        <v>93391.076828403515</v>
      </c>
      <c r="AV68" s="58">
        <f t="shared" si="51"/>
        <v>41</v>
      </c>
      <c r="AW68" s="52">
        <f t="shared" si="51"/>
        <v>63</v>
      </c>
      <c r="AX68" s="183">
        <v>0</v>
      </c>
      <c r="AY68" s="54">
        <f t="shared" si="18"/>
        <v>0</v>
      </c>
      <c r="AZ68" s="54">
        <f t="shared" si="19"/>
        <v>0</v>
      </c>
      <c r="BA68" s="207">
        <f t="shared" si="42"/>
        <v>0</v>
      </c>
      <c r="BB68" s="52">
        <f t="shared" si="43"/>
        <v>89799.112335003374</v>
      </c>
      <c r="BC68" s="48">
        <f t="shared" si="44"/>
        <v>0</v>
      </c>
      <c r="BD68" s="48">
        <f t="shared" si="45"/>
        <v>3591.9644934001349</v>
      </c>
      <c r="BE68" s="53">
        <f t="shared" si="46"/>
        <v>93391.076828403515</v>
      </c>
    </row>
    <row r="69" spans="2:59" ht="15.75" thickTop="1" thickBot="1">
      <c r="B69" s="58">
        <f t="shared" si="52"/>
        <v>42</v>
      </c>
      <c r="C69" s="52">
        <f t="shared" si="52"/>
        <v>63</v>
      </c>
      <c r="D69" s="185">
        <f t="shared" si="47"/>
        <v>1</v>
      </c>
      <c r="E69" s="48">
        <f t="shared" si="21"/>
        <v>0</v>
      </c>
      <c r="F69" s="205">
        <f t="shared" si="22"/>
        <v>0</v>
      </c>
      <c r="G69" s="192">
        <f t="shared" si="23"/>
        <v>0</v>
      </c>
      <c r="I69" s="58">
        <f t="shared" si="24"/>
        <v>42</v>
      </c>
      <c r="J69" s="74">
        <f t="shared" si="25"/>
        <v>63</v>
      </c>
      <c r="K69" s="74">
        <f t="shared" si="3"/>
        <v>0</v>
      </c>
      <c r="L69" s="52">
        <f t="shared" si="26"/>
        <v>0</v>
      </c>
      <c r="M69" s="74">
        <f t="shared" si="4"/>
        <v>0</v>
      </c>
      <c r="N69" s="74">
        <f t="shared" si="27"/>
        <v>0</v>
      </c>
      <c r="O69" s="180">
        <f t="shared" si="28"/>
        <v>0</v>
      </c>
      <c r="Q69" s="124">
        <f t="shared" si="5"/>
        <v>42</v>
      </c>
      <c r="R69" s="125">
        <f t="shared" si="6"/>
        <v>64</v>
      </c>
      <c r="S69" s="125">
        <f t="shared" si="7"/>
        <v>0</v>
      </c>
      <c r="T69" s="126">
        <f t="shared" si="48"/>
        <v>0.1</v>
      </c>
      <c r="U69" s="125">
        <f t="shared" si="8"/>
        <v>0</v>
      </c>
      <c r="V69" s="125">
        <f t="shared" si="29"/>
        <v>17788.776538743525</v>
      </c>
      <c r="W69" s="125">
        <f t="shared" si="30"/>
        <v>0</v>
      </c>
      <c r="X69" s="87">
        <f t="shared" si="31"/>
        <v>711.55106154974101</v>
      </c>
      <c r="Y69" s="128">
        <f t="shared" si="32"/>
        <v>18500.327600293265</v>
      </c>
      <c r="AA69" s="58">
        <f t="shared" si="9"/>
        <v>42</v>
      </c>
      <c r="AB69" s="52">
        <f t="shared" si="10"/>
        <v>64</v>
      </c>
      <c r="AC69" s="52">
        <f t="shared" si="11"/>
        <v>0</v>
      </c>
      <c r="AD69" s="54">
        <f t="shared" si="49"/>
        <v>0.15</v>
      </c>
      <c r="AE69" s="52">
        <f t="shared" si="12"/>
        <v>0</v>
      </c>
      <c r="AF69" s="52">
        <f t="shared" si="33"/>
        <v>0</v>
      </c>
      <c r="AG69" s="52">
        <f t="shared" si="34"/>
        <v>0</v>
      </c>
      <c r="AH69" s="52">
        <f t="shared" si="13"/>
        <v>0</v>
      </c>
      <c r="AI69" s="53">
        <f t="shared" si="35"/>
        <v>0</v>
      </c>
      <c r="AK69" s="58">
        <f t="shared" si="36"/>
        <v>42</v>
      </c>
      <c r="AL69" s="52">
        <f t="shared" si="36"/>
        <v>64</v>
      </c>
      <c r="AM69" s="52">
        <v>0</v>
      </c>
      <c r="AN69" s="54">
        <f t="shared" si="15"/>
        <v>0</v>
      </c>
      <c r="AO69" s="54">
        <f t="shared" si="16"/>
        <v>0</v>
      </c>
      <c r="AP69" s="207">
        <f t="shared" si="37"/>
        <v>0</v>
      </c>
      <c r="AQ69" s="52">
        <f t="shared" si="38"/>
        <v>93391.076828403515</v>
      </c>
      <c r="AR69" s="52">
        <f t="shared" si="39"/>
        <v>0</v>
      </c>
      <c r="AS69" s="48">
        <f t="shared" si="40"/>
        <v>3735.6430731361406</v>
      </c>
      <c r="AT69" s="53">
        <f t="shared" si="41"/>
        <v>97126.719901539662</v>
      </c>
      <c r="AV69" s="58">
        <f t="shared" si="51"/>
        <v>42</v>
      </c>
      <c r="AW69" s="52">
        <f t="shared" si="51"/>
        <v>64</v>
      </c>
      <c r="AX69" s="183">
        <v>0</v>
      </c>
      <c r="AY69" s="54">
        <f t="shared" si="18"/>
        <v>0</v>
      </c>
      <c r="AZ69" s="54">
        <f t="shared" si="19"/>
        <v>0</v>
      </c>
      <c r="BA69" s="207">
        <f t="shared" si="42"/>
        <v>0</v>
      </c>
      <c r="BB69" s="52">
        <f t="shared" si="43"/>
        <v>93391.076828403515</v>
      </c>
      <c r="BC69" s="48">
        <f t="shared" si="44"/>
        <v>0</v>
      </c>
      <c r="BD69" s="48">
        <f t="shared" si="45"/>
        <v>3735.6430731361406</v>
      </c>
      <c r="BE69" s="53">
        <f t="shared" si="46"/>
        <v>97126.719901539662</v>
      </c>
    </row>
    <row r="70" spans="2:59" ht="15.75" thickTop="1" thickBot="1">
      <c r="B70" s="124">
        <f t="shared" si="52"/>
        <v>43</v>
      </c>
      <c r="C70" s="125">
        <f t="shared" si="52"/>
        <v>64</v>
      </c>
      <c r="D70" s="185">
        <f t="shared" si="47"/>
        <v>1</v>
      </c>
      <c r="E70" s="48">
        <f t="shared" si="21"/>
        <v>0</v>
      </c>
      <c r="F70" s="205">
        <f t="shared" si="22"/>
        <v>0</v>
      </c>
      <c r="G70" s="192">
        <f t="shared" si="23"/>
        <v>0</v>
      </c>
      <c r="I70" s="124">
        <f t="shared" si="24"/>
        <v>43</v>
      </c>
      <c r="J70" s="129">
        <f t="shared" si="25"/>
        <v>64</v>
      </c>
      <c r="K70" s="129">
        <f t="shared" si="3"/>
        <v>0</v>
      </c>
      <c r="L70" s="125">
        <f t="shared" si="26"/>
        <v>0</v>
      </c>
      <c r="M70" s="129">
        <f t="shared" si="4"/>
        <v>0</v>
      </c>
      <c r="N70" s="129">
        <f t="shared" si="27"/>
        <v>0</v>
      </c>
      <c r="O70" s="180">
        <f t="shared" si="28"/>
        <v>0</v>
      </c>
      <c r="P70"/>
      <c r="Q70" s="124">
        <f t="shared" si="5"/>
        <v>43</v>
      </c>
      <c r="R70" s="125">
        <f t="shared" si="6"/>
        <v>65</v>
      </c>
      <c r="S70" s="125">
        <f t="shared" si="7"/>
        <v>0</v>
      </c>
      <c r="T70" s="126">
        <f t="shared" si="48"/>
        <v>0.1</v>
      </c>
      <c r="U70" s="125">
        <f t="shared" si="8"/>
        <v>0</v>
      </c>
      <c r="V70" s="125">
        <f t="shared" si="29"/>
        <v>18500.327600293265</v>
      </c>
      <c r="W70" s="125">
        <f t="shared" si="30"/>
        <v>0</v>
      </c>
      <c r="X70" s="87">
        <f t="shared" si="31"/>
        <v>740.01310401173066</v>
      </c>
      <c r="Y70" s="128">
        <f t="shared" si="32"/>
        <v>19240.340704304996</v>
      </c>
      <c r="Z70"/>
      <c r="AA70" s="124">
        <f t="shared" si="9"/>
        <v>43</v>
      </c>
      <c r="AB70" s="125">
        <f t="shared" si="10"/>
        <v>65</v>
      </c>
      <c r="AC70" s="125">
        <f t="shared" si="11"/>
        <v>0</v>
      </c>
      <c r="AD70" s="126">
        <f t="shared" si="49"/>
        <v>0.15</v>
      </c>
      <c r="AE70" s="125">
        <f t="shared" si="12"/>
        <v>0</v>
      </c>
      <c r="AF70" s="125">
        <f t="shared" si="33"/>
        <v>0</v>
      </c>
      <c r="AG70" s="125">
        <f t="shared" si="34"/>
        <v>0</v>
      </c>
      <c r="AH70" s="125">
        <f t="shared" si="13"/>
        <v>0</v>
      </c>
      <c r="AI70" s="128">
        <f t="shared" si="35"/>
        <v>0</v>
      </c>
      <c r="AK70" s="124">
        <f t="shared" si="36"/>
        <v>43</v>
      </c>
      <c r="AL70" s="125">
        <f t="shared" si="36"/>
        <v>65</v>
      </c>
      <c r="AM70" s="52">
        <v>0</v>
      </c>
      <c r="AN70" s="126">
        <f t="shared" si="15"/>
        <v>0</v>
      </c>
      <c r="AO70" s="126">
        <f t="shared" si="16"/>
        <v>0</v>
      </c>
      <c r="AP70" s="207">
        <f t="shared" si="37"/>
        <v>0</v>
      </c>
      <c r="AQ70" s="125">
        <f t="shared" si="38"/>
        <v>97126.719901539662</v>
      </c>
      <c r="AR70" s="52">
        <f t="shared" si="39"/>
        <v>0</v>
      </c>
      <c r="AS70" s="48">
        <f t="shared" si="40"/>
        <v>3885.0687960615865</v>
      </c>
      <c r="AT70" s="128">
        <f t="shared" si="41"/>
        <v>101011.78869760125</v>
      </c>
      <c r="AU70"/>
      <c r="AV70" s="124">
        <f t="shared" si="51"/>
        <v>43</v>
      </c>
      <c r="AW70" s="125">
        <f t="shared" si="51"/>
        <v>65</v>
      </c>
      <c r="AX70" s="183">
        <v>0</v>
      </c>
      <c r="AY70" s="126">
        <f t="shared" si="18"/>
        <v>0</v>
      </c>
      <c r="AZ70" s="126">
        <f t="shared" si="19"/>
        <v>0</v>
      </c>
      <c r="BA70" s="207">
        <f t="shared" si="42"/>
        <v>0</v>
      </c>
      <c r="BB70" s="125">
        <f t="shared" si="43"/>
        <v>97126.719901539662</v>
      </c>
      <c r="BC70" s="48">
        <f t="shared" si="44"/>
        <v>0</v>
      </c>
      <c r="BD70" s="48">
        <f t="shared" si="45"/>
        <v>3885.0687960615865</v>
      </c>
      <c r="BE70" s="128">
        <f t="shared" si="46"/>
        <v>101011.78869760125</v>
      </c>
      <c r="BG70"/>
    </row>
    <row r="71" spans="2:59" ht="15.75" thickTop="1" thickBot="1">
      <c r="B71" s="124">
        <f t="shared" si="52"/>
        <v>44</v>
      </c>
      <c r="C71" s="125">
        <f t="shared" si="52"/>
        <v>65</v>
      </c>
      <c r="D71" s="185">
        <f t="shared" si="47"/>
        <v>1</v>
      </c>
      <c r="E71" s="48">
        <f t="shared" si="21"/>
        <v>0</v>
      </c>
      <c r="F71" s="205">
        <f t="shared" si="22"/>
        <v>0</v>
      </c>
      <c r="G71" s="192">
        <f t="shared" si="23"/>
        <v>0</v>
      </c>
      <c r="I71" s="58">
        <f t="shared" si="24"/>
        <v>44</v>
      </c>
      <c r="J71" s="74">
        <f t="shared" si="25"/>
        <v>65</v>
      </c>
      <c r="K71" s="74">
        <f t="shared" si="3"/>
        <v>0</v>
      </c>
      <c r="L71" s="52">
        <f t="shared" si="26"/>
        <v>0</v>
      </c>
      <c r="M71" s="74">
        <f t="shared" si="4"/>
        <v>0</v>
      </c>
      <c r="N71" s="74">
        <f t="shared" si="27"/>
        <v>0</v>
      </c>
      <c r="O71" s="180">
        <f t="shared" si="28"/>
        <v>0</v>
      </c>
      <c r="Q71" s="58">
        <f t="shared" si="5"/>
        <v>44</v>
      </c>
      <c r="R71" s="52">
        <f t="shared" si="6"/>
        <v>66</v>
      </c>
      <c r="S71" s="52">
        <f t="shared" si="7"/>
        <v>0</v>
      </c>
      <c r="T71" s="54">
        <f t="shared" si="48"/>
        <v>0.1</v>
      </c>
      <c r="U71" s="52">
        <f t="shared" si="8"/>
        <v>0</v>
      </c>
      <c r="V71" s="52">
        <f t="shared" si="29"/>
        <v>19240.340704304996</v>
      </c>
      <c r="W71" s="52">
        <f t="shared" si="30"/>
        <v>0</v>
      </c>
      <c r="X71" s="87">
        <f t="shared" si="31"/>
        <v>769.61362817219981</v>
      </c>
      <c r="Y71" s="53">
        <f t="shared" si="32"/>
        <v>20009.954332477195</v>
      </c>
      <c r="AA71" s="58">
        <f t="shared" si="9"/>
        <v>44</v>
      </c>
      <c r="AB71" s="52">
        <f t="shared" si="10"/>
        <v>66</v>
      </c>
      <c r="AC71" s="52">
        <f t="shared" si="11"/>
        <v>0</v>
      </c>
      <c r="AD71" s="54">
        <f t="shared" si="49"/>
        <v>0.15</v>
      </c>
      <c r="AE71" s="52">
        <f t="shared" si="12"/>
        <v>0</v>
      </c>
      <c r="AF71" s="52">
        <f t="shared" si="33"/>
        <v>0</v>
      </c>
      <c r="AG71" s="52">
        <f t="shared" si="34"/>
        <v>0</v>
      </c>
      <c r="AH71" s="52">
        <f t="shared" si="13"/>
        <v>0</v>
      </c>
      <c r="AI71" s="53">
        <f t="shared" si="35"/>
        <v>0</v>
      </c>
      <c r="AK71" s="58">
        <f t="shared" si="36"/>
        <v>44</v>
      </c>
      <c r="AL71" s="52">
        <f t="shared" si="36"/>
        <v>66</v>
      </c>
      <c r="AM71" s="52">
        <v>0</v>
      </c>
      <c r="AN71" s="54">
        <f t="shared" si="15"/>
        <v>0</v>
      </c>
      <c r="AO71" s="54">
        <f t="shared" si="16"/>
        <v>0</v>
      </c>
      <c r="AP71" s="207">
        <f t="shared" si="37"/>
        <v>0</v>
      </c>
      <c r="AQ71" s="52">
        <f t="shared" si="38"/>
        <v>101011.78869760125</v>
      </c>
      <c r="AR71" s="52">
        <f t="shared" si="39"/>
        <v>0</v>
      </c>
      <c r="AS71" s="48">
        <f t="shared" si="40"/>
        <v>4040.4715479040501</v>
      </c>
      <c r="AT71" s="53">
        <f t="shared" si="41"/>
        <v>105052.2602455053</v>
      </c>
      <c r="AV71" s="58">
        <f t="shared" si="51"/>
        <v>44</v>
      </c>
      <c r="AW71" s="52">
        <f t="shared" si="51"/>
        <v>66</v>
      </c>
      <c r="AX71" s="183">
        <v>0</v>
      </c>
      <c r="AY71" s="54">
        <f t="shared" si="18"/>
        <v>0</v>
      </c>
      <c r="AZ71" s="54">
        <f t="shared" si="19"/>
        <v>0</v>
      </c>
      <c r="BA71" s="207">
        <f t="shared" si="42"/>
        <v>0</v>
      </c>
      <c r="BB71" s="52">
        <f t="shared" si="43"/>
        <v>101011.78869760125</v>
      </c>
      <c r="BC71" s="48">
        <f t="shared" si="44"/>
        <v>0</v>
      </c>
      <c r="BD71" s="48">
        <f t="shared" si="45"/>
        <v>4040.4715479040501</v>
      </c>
      <c r="BE71" s="53">
        <f t="shared" si="46"/>
        <v>105052.2602455053</v>
      </c>
    </row>
    <row r="72" spans="2:59" ht="15.75" thickTop="1" thickBot="1">
      <c r="B72" s="58">
        <f t="shared" si="52"/>
        <v>45</v>
      </c>
      <c r="C72" s="52">
        <f t="shared" si="52"/>
        <v>66</v>
      </c>
      <c r="D72" s="185">
        <f t="shared" si="47"/>
        <v>1</v>
      </c>
      <c r="E72" s="48">
        <f t="shared" si="21"/>
        <v>0</v>
      </c>
      <c r="F72" s="205">
        <f t="shared" si="22"/>
        <v>0</v>
      </c>
      <c r="G72" s="192">
        <f t="shared" si="23"/>
        <v>0</v>
      </c>
      <c r="I72" s="58">
        <f t="shared" si="24"/>
        <v>45</v>
      </c>
      <c r="J72" s="74">
        <f t="shared" si="25"/>
        <v>66</v>
      </c>
      <c r="K72" s="74">
        <f t="shared" si="3"/>
        <v>0</v>
      </c>
      <c r="L72" s="52">
        <f t="shared" si="26"/>
        <v>0</v>
      </c>
      <c r="M72" s="74">
        <f t="shared" si="4"/>
        <v>0</v>
      </c>
      <c r="N72" s="74">
        <f t="shared" si="27"/>
        <v>0</v>
      </c>
      <c r="O72" s="180">
        <f t="shared" si="28"/>
        <v>0</v>
      </c>
      <c r="Q72" s="58">
        <f t="shared" si="5"/>
        <v>45</v>
      </c>
      <c r="R72" s="52">
        <f t="shared" si="6"/>
        <v>67</v>
      </c>
      <c r="S72" s="52">
        <f t="shared" si="7"/>
        <v>0</v>
      </c>
      <c r="T72" s="54">
        <f t="shared" si="48"/>
        <v>0.1</v>
      </c>
      <c r="U72" s="52">
        <f t="shared" si="8"/>
        <v>0</v>
      </c>
      <c r="V72" s="52">
        <f t="shared" si="29"/>
        <v>20009.954332477195</v>
      </c>
      <c r="W72" s="52">
        <f t="shared" si="30"/>
        <v>0</v>
      </c>
      <c r="X72" s="87">
        <f t="shared" si="31"/>
        <v>800.39817329908783</v>
      </c>
      <c r="Y72" s="53">
        <f t="shared" si="32"/>
        <v>20810.352505776282</v>
      </c>
      <c r="AA72" s="58">
        <f t="shared" si="9"/>
        <v>45</v>
      </c>
      <c r="AB72" s="52">
        <f t="shared" si="10"/>
        <v>67</v>
      </c>
      <c r="AC72" s="52">
        <f t="shared" si="11"/>
        <v>0</v>
      </c>
      <c r="AD72" s="54">
        <f t="shared" si="49"/>
        <v>0.15</v>
      </c>
      <c r="AE72" s="52">
        <f t="shared" si="12"/>
        <v>0</v>
      </c>
      <c r="AF72" s="52">
        <f t="shared" si="33"/>
        <v>0</v>
      </c>
      <c r="AG72" s="52">
        <f t="shared" si="34"/>
        <v>0</v>
      </c>
      <c r="AH72" s="52">
        <f t="shared" si="13"/>
        <v>0</v>
      </c>
      <c r="AI72" s="53">
        <f t="shared" si="35"/>
        <v>0</v>
      </c>
      <c r="AK72" s="58">
        <f t="shared" si="36"/>
        <v>45</v>
      </c>
      <c r="AL72" s="52">
        <f t="shared" si="36"/>
        <v>67</v>
      </c>
      <c r="AM72" s="52">
        <v>0</v>
      </c>
      <c r="AN72" s="54">
        <f t="shared" si="15"/>
        <v>0</v>
      </c>
      <c r="AO72" s="54">
        <f t="shared" si="16"/>
        <v>0</v>
      </c>
      <c r="AP72" s="207">
        <f t="shared" si="37"/>
        <v>0</v>
      </c>
      <c r="AQ72" s="52">
        <f t="shared" si="38"/>
        <v>105052.2602455053</v>
      </c>
      <c r="AR72" s="52">
        <f t="shared" si="39"/>
        <v>0</v>
      </c>
      <c r="AS72" s="48">
        <f t="shared" si="40"/>
        <v>4202.0904098202118</v>
      </c>
      <c r="AT72" s="53">
        <f t="shared" si="41"/>
        <v>109254.35065532551</v>
      </c>
      <c r="AV72" s="58">
        <f t="shared" si="51"/>
        <v>45</v>
      </c>
      <c r="AW72" s="52">
        <f t="shared" si="51"/>
        <v>67</v>
      </c>
      <c r="AX72" s="183">
        <v>0</v>
      </c>
      <c r="AY72" s="54">
        <f t="shared" si="18"/>
        <v>0</v>
      </c>
      <c r="AZ72" s="54">
        <f t="shared" si="19"/>
        <v>0</v>
      </c>
      <c r="BA72" s="207">
        <f t="shared" si="42"/>
        <v>0</v>
      </c>
      <c r="BB72" s="52">
        <f t="shared" si="43"/>
        <v>105052.2602455053</v>
      </c>
      <c r="BC72" s="48">
        <f t="shared" si="44"/>
        <v>0</v>
      </c>
      <c r="BD72" s="48">
        <f t="shared" si="45"/>
        <v>4202.0904098202118</v>
      </c>
      <c r="BE72" s="53">
        <f t="shared" si="46"/>
        <v>109254.35065532551</v>
      </c>
    </row>
    <row r="73" spans="2:59" ht="15.75" thickTop="1" thickBot="1">
      <c r="B73" s="58">
        <f t="shared" si="52"/>
        <v>46</v>
      </c>
      <c r="C73" s="52">
        <f t="shared" si="52"/>
        <v>67</v>
      </c>
      <c r="D73" s="185">
        <f t="shared" si="47"/>
        <v>1</v>
      </c>
      <c r="E73" s="48">
        <f t="shared" si="21"/>
        <v>0</v>
      </c>
      <c r="F73" s="205">
        <f t="shared" si="22"/>
        <v>0</v>
      </c>
      <c r="G73" s="192">
        <f t="shared" si="23"/>
        <v>0</v>
      </c>
      <c r="I73" s="58">
        <f t="shared" si="24"/>
        <v>46</v>
      </c>
      <c r="J73" s="74">
        <f t="shared" si="25"/>
        <v>67</v>
      </c>
      <c r="K73" s="74">
        <f t="shared" si="3"/>
        <v>0</v>
      </c>
      <c r="L73" s="52">
        <f t="shared" si="26"/>
        <v>0</v>
      </c>
      <c r="M73" s="74">
        <f t="shared" si="4"/>
        <v>0</v>
      </c>
      <c r="N73" s="74">
        <f t="shared" si="27"/>
        <v>0</v>
      </c>
      <c r="O73" s="180">
        <f t="shared" si="28"/>
        <v>0</v>
      </c>
      <c r="Q73" s="58">
        <f t="shared" si="5"/>
        <v>46</v>
      </c>
      <c r="R73" s="52">
        <f t="shared" si="6"/>
        <v>68</v>
      </c>
      <c r="S73" s="52">
        <f t="shared" si="7"/>
        <v>0</v>
      </c>
      <c r="T73" s="54">
        <f t="shared" si="48"/>
        <v>0.1</v>
      </c>
      <c r="U73" s="52">
        <f t="shared" si="8"/>
        <v>0</v>
      </c>
      <c r="V73" s="52">
        <f t="shared" si="29"/>
        <v>20810.352505776282</v>
      </c>
      <c r="W73" s="52">
        <f t="shared" si="30"/>
        <v>0</v>
      </c>
      <c r="X73" s="87">
        <f t="shared" si="31"/>
        <v>832.41410023105129</v>
      </c>
      <c r="Y73" s="53">
        <f t="shared" si="32"/>
        <v>21642.766606007332</v>
      </c>
      <c r="AA73" s="58">
        <f t="shared" si="9"/>
        <v>46</v>
      </c>
      <c r="AB73" s="52">
        <f t="shared" si="10"/>
        <v>68</v>
      </c>
      <c r="AC73" s="52">
        <f t="shared" si="11"/>
        <v>0</v>
      </c>
      <c r="AD73" s="54">
        <f t="shared" si="49"/>
        <v>0.15</v>
      </c>
      <c r="AE73" s="52">
        <f t="shared" si="12"/>
        <v>0</v>
      </c>
      <c r="AF73" s="52">
        <f t="shared" si="33"/>
        <v>0</v>
      </c>
      <c r="AG73" s="52">
        <f t="shared" si="34"/>
        <v>0</v>
      </c>
      <c r="AH73" s="52">
        <f t="shared" si="13"/>
        <v>0</v>
      </c>
      <c r="AI73" s="53">
        <f t="shared" si="35"/>
        <v>0</v>
      </c>
      <c r="AK73" s="58">
        <f t="shared" si="36"/>
        <v>46</v>
      </c>
      <c r="AL73" s="52">
        <f t="shared" si="36"/>
        <v>68</v>
      </c>
      <c r="AM73" s="52">
        <v>0</v>
      </c>
      <c r="AN73" s="54">
        <f t="shared" si="15"/>
        <v>0</v>
      </c>
      <c r="AO73" s="54">
        <f t="shared" si="16"/>
        <v>0</v>
      </c>
      <c r="AP73" s="207">
        <f t="shared" si="37"/>
        <v>0</v>
      </c>
      <c r="AQ73" s="52">
        <f t="shared" si="38"/>
        <v>109254.35065532551</v>
      </c>
      <c r="AR73" s="52">
        <f t="shared" si="39"/>
        <v>0</v>
      </c>
      <c r="AS73" s="48">
        <f t="shared" si="40"/>
        <v>4370.1740262130206</v>
      </c>
      <c r="AT73" s="53">
        <f t="shared" si="41"/>
        <v>113624.52468153853</v>
      </c>
      <c r="AV73" s="58">
        <f t="shared" si="51"/>
        <v>46</v>
      </c>
      <c r="AW73" s="52">
        <f t="shared" si="51"/>
        <v>68</v>
      </c>
      <c r="AX73" s="183">
        <v>0</v>
      </c>
      <c r="AY73" s="54">
        <f t="shared" si="18"/>
        <v>0</v>
      </c>
      <c r="AZ73" s="54">
        <f t="shared" si="19"/>
        <v>0</v>
      </c>
      <c r="BA73" s="207">
        <f t="shared" si="42"/>
        <v>0</v>
      </c>
      <c r="BB73" s="52">
        <f t="shared" si="43"/>
        <v>109254.35065532551</v>
      </c>
      <c r="BC73" s="48">
        <f t="shared" si="44"/>
        <v>0</v>
      </c>
      <c r="BD73" s="48">
        <f t="shared" si="45"/>
        <v>4370.1740262130206</v>
      </c>
      <c r="BE73" s="53">
        <f t="shared" si="46"/>
        <v>113624.52468153853</v>
      </c>
    </row>
    <row r="74" spans="2:59" ht="15.75" thickTop="1" thickBot="1">
      <c r="B74" s="58">
        <f t="shared" si="52"/>
        <v>47</v>
      </c>
      <c r="C74" s="52">
        <f t="shared" si="52"/>
        <v>68</v>
      </c>
      <c r="D74" s="185">
        <f t="shared" si="47"/>
        <v>1</v>
      </c>
      <c r="E74" s="48">
        <f t="shared" si="21"/>
        <v>0</v>
      </c>
      <c r="F74" s="205">
        <f t="shared" si="22"/>
        <v>0</v>
      </c>
      <c r="G74" s="192">
        <f t="shared" si="23"/>
        <v>0</v>
      </c>
      <c r="I74" s="58">
        <f t="shared" si="24"/>
        <v>47</v>
      </c>
      <c r="J74" s="74">
        <f t="shared" si="25"/>
        <v>68</v>
      </c>
      <c r="K74" s="74">
        <f t="shared" si="3"/>
        <v>0</v>
      </c>
      <c r="L74" s="52">
        <f t="shared" si="26"/>
        <v>0</v>
      </c>
      <c r="M74" s="74">
        <f t="shared" si="4"/>
        <v>0</v>
      </c>
      <c r="N74" s="74">
        <f t="shared" si="27"/>
        <v>0</v>
      </c>
      <c r="O74" s="180">
        <f t="shared" si="28"/>
        <v>0</v>
      </c>
      <c r="Q74" s="58">
        <f t="shared" si="5"/>
        <v>47</v>
      </c>
      <c r="R74" s="52">
        <f t="shared" si="6"/>
        <v>69</v>
      </c>
      <c r="S74" s="52">
        <f t="shared" si="7"/>
        <v>0</v>
      </c>
      <c r="T74" s="54">
        <f t="shared" si="48"/>
        <v>0.1</v>
      </c>
      <c r="U74" s="52">
        <f t="shared" si="8"/>
        <v>0</v>
      </c>
      <c r="V74" s="52">
        <f t="shared" si="29"/>
        <v>21642.766606007332</v>
      </c>
      <c r="W74" s="52">
        <f t="shared" si="30"/>
        <v>0</v>
      </c>
      <c r="X74" s="87">
        <f t="shared" si="31"/>
        <v>865.71066424029323</v>
      </c>
      <c r="Y74" s="53">
        <f t="shared" si="32"/>
        <v>22508.477270247626</v>
      </c>
      <c r="AA74" s="58">
        <f t="shared" si="9"/>
        <v>47</v>
      </c>
      <c r="AB74" s="52">
        <f t="shared" si="10"/>
        <v>69</v>
      </c>
      <c r="AC74" s="52">
        <f t="shared" si="11"/>
        <v>0</v>
      </c>
      <c r="AD74" s="54">
        <f t="shared" si="49"/>
        <v>0.15</v>
      </c>
      <c r="AE74" s="52">
        <f t="shared" si="12"/>
        <v>0</v>
      </c>
      <c r="AF74" s="52">
        <f t="shared" si="33"/>
        <v>0</v>
      </c>
      <c r="AG74" s="52">
        <f t="shared" si="34"/>
        <v>0</v>
      </c>
      <c r="AH74" s="52">
        <f t="shared" si="13"/>
        <v>0</v>
      </c>
      <c r="AI74" s="53">
        <f t="shared" si="35"/>
        <v>0</v>
      </c>
      <c r="AK74" s="58">
        <f t="shared" si="36"/>
        <v>47</v>
      </c>
      <c r="AL74" s="52">
        <f t="shared" si="36"/>
        <v>69</v>
      </c>
      <c r="AM74" s="52">
        <v>0</v>
      </c>
      <c r="AN74" s="54">
        <f t="shared" si="15"/>
        <v>0</v>
      </c>
      <c r="AO74" s="54">
        <f t="shared" si="16"/>
        <v>0</v>
      </c>
      <c r="AP74" s="207">
        <f t="shared" si="37"/>
        <v>0</v>
      </c>
      <c r="AQ74" s="52">
        <f t="shared" si="38"/>
        <v>113624.52468153853</v>
      </c>
      <c r="AR74" s="52">
        <f t="shared" si="39"/>
        <v>0</v>
      </c>
      <c r="AS74" s="48">
        <f t="shared" si="40"/>
        <v>4544.9809872615415</v>
      </c>
      <c r="AT74" s="53">
        <f t="shared" si="41"/>
        <v>118169.50566880008</v>
      </c>
      <c r="AV74" s="58">
        <f t="shared" si="51"/>
        <v>47</v>
      </c>
      <c r="AW74" s="52">
        <f t="shared" si="51"/>
        <v>69</v>
      </c>
      <c r="AX74" s="183">
        <v>0</v>
      </c>
      <c r="AY74" s="54">
        <f t="shared" si="18"/>
        <v>0</v>
      </c>
      <c r="AZ74" s="54">
        <f t="shared" si="19"/>
        <v>0</v>
      </c>
      <c r="BA74" s="207">
        <f t="shared" si="42"/>
        <v>0</v>
      </c>
      <c r="BB74" s="52">
        <f t="shared" si="43"/>
        <v>113624.52468153853</v>
      </c>
      <c r="BC74" s="48">
        <f t="shared" si="44"/>
        <v>0</v>
      </c>
      <c r="BD74" s="48">
        <f t="shared" si="45"/>
        <v>4544.9809872615415</v>
      </c>
      <c r="BE74" s="53">
        <f t="shared" si="46"/>
        <v>118169.50566880008</v>
      </c>
    </row>
    <row r="75" spans="2:59" ht="15.75" thickTop="1" thickBot="1">
      <c r="B75" s="58">
        <f t="shared" si="52"/>
        <v>48</v>
      </c>
      <c r="C75" s="52">
        <f t="shared" si="52"/>
        <v>69</v>
      </c>
      <c r="D75" s="185">
        <f t="shared" si="47"/>
        <v>1</v>
      </c>
      <c r="E75" s="48">
        <f t="shared" si="21"/>
        <v>0</v>
      </c>
      <c r="F75" s="205">
        <f t="shared" si="22"/>
        <v>0</v>
      </c>
      <c r="G75" s="192">
        <f t="shared" si="23"/>
        <v>0</v>
      </c>
      <c r="I75" s="58">
        <f t="shared" si="24"/>
        <v>48</v>
      </c>
      <c r="J75" s="74">
        <f t="shared" si="25"/>
        <v>69</v>
      </c>
      <c r="K75" s="74">
        <f t="shared" si="3"/>
        <v>0</v>
      </c>
      <c r="L75" s="52">
        <f t="shared" si="26"/>
        <v>0</v>
      </c>
      <c r="M75" s="74">
        <f t="shared" si="4"/>
        <v>0</v>
      </c>
      <c r="N75" s="74">
        <f t="shared" si="27"/>
        <v>0</v>
      </c>
      <c r="O75" s="180">
        <f t="shared" si="28"/>
        <v>0</v>
      </c>
      <c r="Q75" s="58">
        <f t="shared" si="5"/>
        <v>48</v>
      </c>
      <c r="R75" s="52">
        <f t="shared" si="6"/>
        <v>70</v>
      </c>
      <c r="S75" s="52">
        <f t="shared" si="7"/>
        <v>0</v>
      </c>
      <c r="T75" s="54">
        <f t="shared" si="48"/>
        <v>0.1</v>
      </c>
      <c r="U75" s="52">
        <f t="shared" si="8"/>
        <v>0</v>
      </c>
      <c r="V75" s="52">
        <f t="shared" si="29"/>
        <v>22508.477270247626</v>
      </c>
      <c r="W75" s="52">
        <f t="shared" si="30"/>
        <v>0</v>
      </c>
      <c r="X75" s="87">
        <f t="shared" si="31"/>
        <v>900.33909080990509</v>
      </c>
      <c r="Y75" s="53">
        <f t="shared" si="32"/>
        <v>23408.816361057532</v>
      </c>
      <c r="AA75" s="58">
        <f t="shared" si="9"/>
        <v>48</v>
      </c>
      <c r="AB75" s="52">
        <f t="shared" si="10"/>
        <v>70</v>
      </c>
      <c r="AC75" s="52">
        <f t="shared" si="11"/>
        <v>0</v>
      </c>
      <c r="AD75" s="54">
        <f t="shared" si="49"/>
        <v>0.15</v>
      </c>
      <c r="AE75" s="52">
        <f t="shared" si="12"/>
        <v>0</v>
      </c>
      <c r="AF75" s="52">
        <f t="shared" si="33"/>
        <v>0</v>
      </c>
      <c r="AG75" s="52">
        <f t="shared" si="34"/>
        <v>0</v>
      </c>
      <c r="AH75" s="52">
        <f t="shared" si="13"/>
        <v>0</v>
      </c>
      <c r="AI75" s="53">
        <f t="shared" si="35"/>
        <v>0</v>
      </c>
      <c r="AK75" s="58">
        <f t="shared" si="36"/>
        <v>48</v>
      </c>
      <c r="AL75" s="52">
        <f t="shared" si="36"/>
        <v>70</v>
      </c>
      <c r="AM75" s="52">
        <v>0</v>
      </c>
      <c r="AN75" s="54">
        <f t="shared" si="15"/>
        <v>0</v>
      </c>
      <c r="AO75" s="54">
        <f t="shared" si="16"/>
        <v>0</v>
      </c>
      <c r="AP75" s="207">
        <f t="shared" si="37"/>
        <v>0</v>
      </c>
      <c r="AQ75" s="52">
        <f t="shared" si="38"/>
        <v>118169.50566880008</v>
      </c>
      <c r="AR75" s="52">
        <f t="shared" si="39"/>
        <v>0</v>
      </c>
      <c r="AS75" s="48">
        <f t="shared" si="40"/>
        <v>4726.7802267520028</v>
      </c>
      <c r="AT75" s="53">
        <f t="shared" si="41"/>
        <v>122896.28589555208</v>
      </c>
      <c r="AV75" s="58">
        <f t="shared" si="51"/>
        <v>48</v>
      </c>
      <c r="AW75" s="52">
        <f t="shared" si="51"/>
        <v>70</v>
      </c>
      <c r="AX75" s="183">
        <v>0</v>
      </c>
      <c r="AY75" s="54">
        <f t="shared" si="18"/>
        <v>0</v>
      </c>
      <c r="AZ75" s="54">
        <f t="shared" si="19"/>
        <v>0</v>
      </c>
      <c r="BA75" s="207">
        <f t="shared" si="42"/>
        <v>0</v>
      </c>
      <c r="BB75" s="52">
        <f t="shared" si="43"/>
        <v>118169.50566880008</v>
      </c>
      <c r="BC75" s="48">
        <f t="shared" si="44"/>
        <v>0</v>
      </c>
      <c r="BD75" s="48">
        <f t="shared" si="45"/>
        <v>4726.7802267520028</v>
      </c>
      <c r="BE75" s="53">
        <f t="shared" si="46"/>
        <v>122896.28589555208</v>
      </c>
    </row>
    <row r="76" spans="2:59" ht="15.75" thickTop="1" thickBot="1">
      <c r="B76" s="59">
        <f t="shared" si="52"/>
        <v>49</v>
      </c>
      <c r="C76" s="55">
        <f t="shared" si="52"/>
        <v>70</v>
      </c>
      <c r="D76" s="185">
        <f t="shared" si="47"/>
        <v>1</v>
      </c>
      <c r="E76" s="48">
        <f t="shared" si="21"/>
        <v>0</v>
      </c>
      <c r="F76" s="205">
        <f t="shared" si="22"/>
        <v>0</v>
      </c>
      <c r="G76" s="192">
        <f t="shared" si="23"/>
        <v>0</v>
      </c>
      <c r="I76" s="59">
        <f t="shared" si="24"/>
        <v>49</v>
      </c>
      <c r="J76" s="76">
        <f t="shared" si="25"/>
        <v>70</v>
      </c>
      <c r="K76" s="76">
        <f t="shared" si="3"/>
        <v>0</v>
      </c>
      <c r="L76" s="55">
        <f t="shared" si="26"/>
        <v>0</v>
      </c>
      <c r="M76" s="76">
        <f t="shared" si="4"/>
        <v>0</v>
      </c>
      <c r="N76" s="76">
        <f t="shared" si="27"/>
        <v>0</v>
      </c>
      <c r="O76" s="181">
        <f t="shared" si="28"/>
        <v>0</v>
      </c>
      <c r="Q76" s="59">
        <f t="shared" si="5"/>
        <v>49</v>
      </c>
      <c r="R76" s="67">
        <f t="shared" si="6"/>
        <v>71</v>
      </c>
      <c r="S76" s="67">
        <f t="shared" si="7"/>
        <v>0</v>
      </c>
      <c r="T76" s="68">
        <f t="shared" si="48"/>
        <v>0.1</v>
      </c>
      <c r="U76" s="67">
        <f t="shared" si="8"/>
        <v>0</v>
      </c>
      <c r="V76" s="67">
        <f t="shared" si="29"/>
        <v>23408.816361057532</v>
      </c>
      <c r="W76" s="67">
        <f t="shared" si="30"/>
        <v>0</v>
      </c>
      <c r="X76" s="87">
        <f t="shared" si="31"/>
        <v>936.35265444230129</v>
      </c>
      <c r="Y76" s="70">
        <f t="shared" si="32"/>
        <v>24345.169015499832</v>
      </c>
      <c r="AA76" s="59">
        <f t="shared" si="9"/>
        <v>49</v>
      </c>
      <c r="AB76" s="67">
        <f t="shared" si="10"/>
        <v>71</v>
      </c>
      <c r="AC76" s="67">
        <f t="shared" si="11"/>
        <v>0</v>
      </c>
      <c r="AD76" s="68">
        <f t="shared" si="49"/>
        <v>0.15</v>
      </c>
      <c r="AE76" s="67">
        <f t="shared" si="12"/>
        <v>0</v>
      </c>
      <c r="AF76" s="67">
        <f t="shared" si="33"/>
        <v>0</v>
      </c>
      <c r="AG76" s="67">
        <f t="shared" si="34"/>
        <v>0</v>
      </c>
      <c r="AH76" s="67">
        <f t="shared" si="13"/>
        <v>0</v>
      </c>
      <c r="AI76" s="69">
        <f t="shared" si="35"/>
        <v>0</v>
      </c>
      <c r="AK76" s="59">
        <f t="shared" si="36"/>
        <v>49</v>
      </c>
      <c r="AL76" s="67">
        <f t="shared" si="36"/>
        <v>71</v>
      </c>
      <c r="AM76" s="52">
        <v>0</v>
      </c>
      <c r="AN76" s="68">
        <f t="shared" si="15"/>
        <v>0</v>
      </c>
      <c r="AO76" s="68">
        <f t="shared" si="16"/>
        <v>0</v>
      </c>
      <c r="AP76" s="207">
        <f t="shared" si="37"/>
        <v>0</v>
      </c>
      <c r="AQ76" s="55">
        <f t="shared" si="38"/>
        <v>122896.28589555208</v>
      </c>
      <c r="AR76" s="52">
        <f t="shared" si="39"/>
        <v>0</v>
      </c>
      <c r="AS76" s="48">
        <f t="shared" si="40"/>
        <v>4915.8514358220837</v>
      </c>
      <c r="AT76" s="69">
        <f t="shared" si="41"/>
        <v>127812.13733137416</v>
      </c>
      <c r="AV76" s="59">
        <f t="shared" si="51"/>
        <v>49</v>
      </c>
      <c r="AW76" s="67">
        <f t="shared" si="51"/>
        <v>71</v>
      </c>
      <c r="AX76" s="183">
        <v>0</v>
      </c>
      <c r="AY76" s="68">
        <f t="shared" si="18"/>
        <v>0</v>
      </c>
      <c r="AZ76" s="68">
        <f t="shared" si="19"/>
        <v>0</v>
      </c>
      <c r="BA76" s="207">
        <f t="shared" si="42"/>
        <v>0</v>
      </c>
      <c r="BB76" s="55">
        <f t="shared" si="43"/>
        <v>122896.28589555208</v>
      </c>
      <c r="BC76" s="48">
        <f t="shared" si="44"/>
        <v>0</v>
      </c>
      <c r="BD76" s="48">
        <f t="shared" si="45"/>
        <v>4915.8514358220837</v>
      </c>
      <c r="BE76" s="69">
        <f t="shared" si="46"/>
        <v>127812.13733137416</v>
      </c>
    </row>
    <row r="77" spans="2:59" ht="15" thickTop="1"/>
    <row r="93" spans="2:2">
      <c r="B93" s="20">
        <f>+B92/12</f>
        <v>0</v>
      </c>
    </row>
    <row r="95" spans="2:2">
      <c r="B95" s="20">
        <f ca="1">+B93-BM8</f>
        <v>-6300</v>
      </c>
    </row>
  </sheetData>
  <mergeCells count="17">
    <mergeCell ref="BH10:BK10"/>
    <mergeCell ref="Q3:Y3"/>
    <mergeCell ref="AA3:AT3"/>
    <mergeCell ref="I4:O4"/>
    <mergeCell ref="BH8:BK8"/>
    <mergeCell ref="BH9:BK9"/>
    <mergeCell ref="B24:G24"/>
    <mergeCell ref="I24:O24"/>
    <mergeCell ref="Q24:Y24"/>
    <mergeCell ref="AA24:AI24"/>
    <mergeCell ref="AK24:AT24"/>
    <mergeCell ref="Q25:Y25"/>
    <mergeCell ref="AA25:AI25"/>
    <mergeCell ref="AK25:AT25"/>
    <mergeCell ref="AV25:BE25"/>
    <mergeCell ref="BH11:BK11"/>
    <mergeCell ref="AV24:BE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1130-EBBE-40AF-86F0-C7BAC451AE4D}">
  <dimension ref="A1:BN95"/>
  <sheetViews>
    <sheetView topLeftCell="A4" workbookViewId="0">
      <selection activeCell="F20" sqref="F20"/>
    </sheetView>
  </sheetViews>
  <sheetFormatPr baseColWidth="10" defaultColWidth="11.5" defaultRowHeight="14.25"/>
  <cols>
    <col min="2" max="2" width="14.625" style="20" bestFit="1" customWidth="1"/>
    <col min="3" max="3" width="7.5" style="20" customWidth="1"/>
    <col min="4" max="4" width="10.375" style="20" customWidth="1"/>
    <col min="5" max="5" width="10.5" style="22" bestFit="1" customWidth="1"/>
    <col min="6" max="6" width="11.375" style="22" customWidth="1"/>
    <col min="7" max="7" width="8.875" style="189" bestFit="1" customWidth="1"/>
    <col min="8" max="8" width="9.625" style="194" bestFit="1" customWidth="1"/>
    <col min="9" max="9" width="16.875" customWidth="1"/>
    <col min="10" max="10" width="15.375" bestFit="1" customWidth="1"/>
    <col min="11" max="11" width="21.375" customWidth="1"/>
    <col min="15" max="15" width="10.625" customWidth="1"/>
    <col min="16" max="16" width="3.375" style="194" customWidth="1"/>
    <col min="17" max="17" width="4.625" bestFit="1" customWidth="1"/>
    <col min="18" max="18" width="16.625" customWidth="1"/>
    <col min="19" max="19" width="15.125" customWidth="1"/>
    <col min="20" max="20" width="27.125" bestFit="1" customWidth="1"/>
    <col min="21" max="21" width="15.625" customWidth="1"/>
    <col min="22" max="22" width="16.375" customWidth="1"/>
    <col min="23" max="23" width="15.625" customWidth="1"/>
    <col min="24" max="24" width="12.5" customWidth="1"/>
    <col min="25" max="25" width="15.625" customWidth="1"/>
    <col min="26" max="26" width="3.375" style="194" customWidth="1"/>
    <col min="27" max="27" width="8.5" bestFit="1" customWidth="1"/>
    <col min="28" max="28" width="9" bestFit="1" customWidth="1"/>
    <col min="29" max="29" width="10.625" customWidth="1"/>
    <col min="30" max="30" width="8.625" bestFit="1" customWidth="1"/>
    <col min="31" max="31" width="11.375" bestFit="1" customWidth="1"/>
    <col min="32" max="32" width="13.625" bestFit="1" customWidth="1"/>
    <col min="33" max="33" width="16.375" bestFit="1" customWidth="1"/>
    <col min="34" max="34" width="11" bestFit="1" customWidth="1"/>
    <col min="35" max="35" width="8.625" bestFit="1" customWidth="1"/>
    <col min="36" max="36" width="3.5" customWidth="1"/>
    <col min="37" max="37" width="8.5" bestFit="1" customWidth="1"/>
    <col min="38" max="38" width="9" bestFit="1" customWidth="1"/>
    <col min="39" max="39" width="10.625" customWidth="1"/>
    <col min="40" max="40" width="10.125" bestFit="1" customWidth="1"/>
    <col min="41" max="41" width="10.625" bestFit="1" customWidth="1"/>
    <col min="42" max="42" width="21.5" bestFit="1" customWidth="1"/>
    <col min="43" max="43" width="11.875" bestFit="1" customWidth="1"/>
    <col min="44" max="44" width="9.125" bestFit="1" customWidth="1"/>
    <col min="45" max="45" width="10.125" bestFit="1" customWidth="1"/>
    <col min="46" max="46" width="11.375" customWidth="1"/>
    <col min="47" max="47" width="3.5" style="194" customWidth="1"/>
    <col min="49" max="49" width="10.5" bestFit="1" customWidth="1"/>
    <col min="54" max="54" width="13" bestFit="1" customWidth="1"/>
    <col min="58" max="58" width="6.375" customWidth="1"/>
    <col min="59" max="59" width="8.375" style="1" customWidth="1"/>
    <col min="65" max="65" width="12.5" bestFit="1" customWidth="1"/>
  </cols>
  <sheetData>
    <row r="1" spans="1:66" ht="23.25">
      <c r="B1" s="19" t="s">
        <v>29</v>
      </c>
      <c r="D1"/>
      <c r="E1" s="21"/>
      <c r="F1" s="21"/>
      <c r="G1" s="21"/>
      <c r="BH1" s="172" t="s">
        <v>99</v>
      </c>
      <c r="BI1" s="174"/>
      <c r="BJ1" s="174"/>
      <c r="BK1" s="173"/>
      <c r="BL1" s="173"/>
      <c r="BM1" s="173"/>
      <c r="BN1" s="173"/>
    </row>
    <row r="2" spans="1:66" ht="15">
      <c r="B2" t="s">
        <v>77</v>
      </c>
      <c r="D2"/>
      <c r="E2" s="21"/>
      <c r="F2" s="26">
        <v>1</v>
      </c>
      <c r="G2" s="162"/>
      <c r="BH2" t="s">
        <v>43</v>
      </c>
      <c r="BM2" s="163">
        <f>+SUM(K28:K76)</f>
        <v>420</v>
      </c>
    </row>
    <row r="3" spans="1:66" ht="30">
      <c r="B3" t="s">
        <v>30</v>
      </c>
      <c r="D3"/>
      <c r="E3" s="24"/>
      <c r="F3" s="201" t="str">
        <f>+salidaformulas!B2</f>
        <v>M</v>
      </c>
      <c r="Q3" s="267" t="s">
        <v>186</v>
      </c>
      <c r="R3" s="267"/>
      <c r="S3" s="267"/>
      <c r="T3" s="267"/>
      <c r="U3" s="267"/>
      <c r="V3" s="267"/>
      <c r="W3" s="267"/>
      <c r="X3" s="267"/>
      <c r="Y3" s="267"/>
      <c r="AA3" s="268" t="s">
        <v>187</v>
      </c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BH3" t="s">
        <v>82</v>
      </c>
      <c r="BM3" s="40">
        <f>+IF(BM2&gt;240,BM2-F13,0)</f>
        <v>180</v>
      </c>
    </row>
    <row r="4" spans="1:66" ht="30">
      <c r="B4" t="s">
        <v>31</v>
      </c>
      <c r="D4"/>
      <c r="E4" s="24"/>
      <c r="F4" s="200">
        <f>+salidaformulas!B3</f>
        <v>22</v>
      </c>
      <c r="I4" s="267" t="s">
        <v>185</v>
      </c>
      <c r="J4" s="267"/>
      <c r="K4" s="267"/>
      <c r="L4" s="267"/>
      <c r="M4" s="267"/>
      <c r="N4" s="267"/>
      <c r="O4" s="267"/>
      <c r="BH4" t="s">
        <v>119</v>
      </c>
      <c r="BK4" s="22"/>
      <c r="BL4" s="22"/>
      <c r="BM4" s="155">
        <f>IF(F7&lt;=7,BN4,BN4*AF13)</f>
        <v>0.78749999999999998</v>
      </c>
      <c r="BN4" s="155">
        <f>IF(AND(BM2&gt;=180,BM2&lt;240),($F$14+INT(BM3/12)*$F$15)*BM2/240,IF(BM2&lt;180,0,($F$14+INT(BM3/12)*$F$15)))</f>
        <v>0.78749999999999998</v>
      </c>
    </row>
    <row r="5" spans="1:66" ht="29.25">
      <c r="B5" t="s">
        <v>98</v>
      </c>
      <c r="D5"/>
      <c r="E5" s="24"/>
      <c r="F5" s="26">
        <f>+F4</f>
        <v>22</v>
      </c>
      <c r="J5" s="39" t="s">
        <v>136</v>
      </c>
      <c r="K5" t="s">
        <v>150</v>
      </c>
      <c r="S5" s="39" t="s">
        <v>136</v>
      </c>
      <c r="T5" t="s">
        <v>150</v>
      </c>
      <c r="BH5" s="20" t="s">
        <v>84</v>
      </c>
      <c r="BI5" s="22"/>
      <c r="BJ5" s="22"/>
      <c r="BM5" s="150">
        <f ca="1">+BM6*12</f>
        <v>5788.125</v>
      </c>
    </row>
    <row r="6" spans="1:66" ht="15">
      <c r="B6" s="162" t="s">
        <v>54</v>
      </c>
      <c r="D6"/>
      <c r="E6" s="24"/>
      <c r="F6" s="139">
        <f>+salidaformulas!B4</f>
        <v>62</v>
      </c>
      <c r="I6" t="s">
        <v>137</v>
      </c>
      <c r="J6" t="s">
        <v>149</v>
      </c>
      <c r="K6" t="s">
        <v>151</v>
      </c>
      <c r="R6" t="s">
        <v>137</v>
      </c>
      <c r="S6" t="s">
        <v>149</v>
      </c>
      <c r="T6" t="s">
        <v>151</v>
      </c>
      <c r="BH6" s="20" t="s">
        <v>85</v>
      </c>
      <c r="BI6" s="22"/>
      <c r="BJ6" s="22"/>
      <c r="BK6" s="34"/>
      <c r="BL6" s="34"/>
      <c r="BM6" s="152">
        <f ca="1">IF(BM2&gt;=240,MAX(MAX(BL8:BL10),265),MAX(BL8:BL10))</f>
        <v>482.34375</v>
      </c>
      <c r="BN6" s="140"/>
    </row>
    <row r="7" spans="1:66" ht="15">
      <c r="B7" s="162" t="s">
        <v>184</v>
      </c>
      <c r="D7"/>
      <c r="E7" s="24"/>
      <c r="F7" s="139">
        <f>+F6-F5</f>
        <v>40</v>
      </c>
      <c r="I7">
        <v>1</v>
      </c>
      <c r="J7" s="40">
        <f>LARGE($G$28:$G$65,I7)</f>
        <v>7350</v>
      </c>
      <c r="K7" s="40">
        <f>LARGE($L$28:$L$65,I7)</f>
        <v>5250</v>
      </c>
      <c r="R7">
        <v>1</v>
      </c>
      <c r="S7" s="40">
        <f t="shared" ref="S7:T17" si="0">+J7</f>
        <v>7350</v>
      </c>
      <c r="T7" s="40">
        <f t="shared" si="0"/>
        <v>5250</v>
      </c>
      <c r="BL7" s="143" t="s">
        <v>127</v>
      </c>
      <c r="BM7" s="143" t="s">
        <v>133</v>
      </c>
      <c r="BN7" s="143" t="s">
        <v>132</v>
      </c>
    </row>
    <row r="8" spans="1:66" ht="15">
      <c r="B8" t="s">
        <v>61</v>
      </c>
      <c r="F8" s="28">
        <v>0.15</v>
      </c>
      <c r="I8">
        <v>2</v>
      </c>
      <c r="J8" s="40">
        <f t="shared" ref="J8:J16" si="1">LARGE($G$28:$G$65,I8)</f>
        <v>7350</v>
      </c>
      <c r="K8" s="40">
        <f t="shared" ref="K8:K16" si="2">LARGE($L$28:$L$65,I8)</f>
        <v>5250</v>
      </c>
      <c r="R8">
        <v>2</v>
      </c>
      <c r="S8" s="40">
        <f t="shared" si="0"/>
        <v>7350</v>
      </c>
      <c r="T8" s="40">
        <f t="shared" si="0"/>
        <v>5250</v>
      </c>
      <c r="BH8" s="263" t="s">
        <v>128</v>
      </c>
      <c r="BI8" s="263"/>
      <c r="BJ8" s="263"/>
      <c r="BK8" s="263"/>
      <c r="BL8" s="146">
        <f ca="1">+IF($BM$4*BM8/12&gt;1500,1500,$BM$4*BM8/12)</f>
        <v>482.34375</v>
      </c>
      <c r="BM8" s="150" cm="1">
        <f t="array" aca="1" ref="BM8" ca="1">+AVERAGE(LARGE($G$28:$G$76,ROW(INDIRECT("1:10"))))</f>
        <v>7350</v>
      </c>
    </row>
    <row r="9" spans="1:66" ht="15">
      <c r="B9" t="s">
        <v>60</v>
      </c>
      <c r="F9" s="28">
        <v>0.13500000000000001</v>
      </c>
      <c r="I9">
        <v>3</v>
      </c>
      <c r="J9" s="40">
        <f t="shared" si="1"/>
        <v>7350</v>
      </c>
      <c r="K9" s="40">
        <f t="shared" si="2"/>
        <v>5250</v>
      </c>
      <c r="R9">
        <v>3</v>
      </c>
      <c r="S9" s="40">
        <f t="shared" si="0"/>
        <v>7350</v>
      </c>
      <c r="T9" s="40">
        <f t="shared" si="0"/>
        <v>5250</v>
      </c>
      <c r="BH9" s="266" t="s">
        <v>129</v>
      </c>
      <c r="BI9" s="266"/>
      <c r="BJ9" s="266"/>
      <c r="BK9" s="266"/>
      <c r="BL9" s="131">
        <f ca="1">+IF($BM$4*BM9/12&gt;2000,2000,$BM$4*BM9/12)</f>
        <v>0</v>
      </c>
      <c r="BM9" s="150" cm="1">
        <f t="array" aca="1" ref="BM9" ca="1">IF(AND(BM2&gt;300,AVERAGE(LARGE($G$28:$G$76,ROW(INDIRECT("1:15"))))&gt;=24000),AVERAGE(LARGE($G$28:$G$76,ROW(INDIRECT("1:15")))),0)</f>
        <v>0</v>
      </c>
      <c r="BN9" s="31"/>
    </row>
    <row r="10" spans="1:66" ht="15">
      <c r="B10" t="s">
        <v>62</v>
      </c>
      <c r="D10"/>
      <c r="E10" s="24"/>
      <c r="F10" s="28">
        <v>0.18</v>
      </c>
      <c r="I10">
        <v>4</v>
      </c>
      <c r="J10" s="40">
        <f t="shared" si="1"/>
        <v>7350</v>
      </c>
      <c r="K10" s="40">
        <f t="shared" si="2"/>
        <v>5250</v>
      </c>
      <c r="R10">
        <v>4</v>
      </c>
      <c r="S10" s="40">
        <f t="shared" si="0"/>
        <v>7350</v>
      </c>
      <c r="T10" s="40">
        <f t="shared" si="0"/>
        <v>5250</v>
      </c>
      <c r="AA10" s="29" t="s">
        <v>114</v>
      </c>
      <c r="AB10" s="22"/>
      <c r="AC10" s="22"/>
      <c r="AK10" s="194"/>
      <c r="AL10" s="194"/>
      <c r="AM10" s="194"/>
      <c r="AN10" s="194"/>
      <c r="AO10" s="194"/>
      <c r="AP10" s="194"/>
      <c r="BH10" s="266" t="s">
        <v>130</v>
      </c>
      <c r="BI10" s="266"/>
      <c r="BJ10" s="266"/>
      <c r="BK10" s="266"/>
      <c r="BL10" s="131">
        <f ca="1">+IF($BM$4*BM10/12&gt;2500,2500,$BM$4*BM10/12)</f>
        <v>0</v>
      </c>
      <c r="BM10" s="150" cm="1">
        <f t="array" aca="1" ref="BM10" ca="1">IF(AND(BM2&gt;360,AVERAGE(LARGE($G$28:$G$76,ROW(INDIRECT("1:20"))))&gt;=30000),AVERAGE(LARGE($G$28:$G$76,ROW(INDIRECT("1:20")))),0)</f>
        <v>0</v>
      </c>
    </row>
    <row r="11" spans="1:66" ht="15.75" thickBot="1">
      <c r="B11" t="s">
        <v>55</v>
      </c>
      <c r="D11"/>
      <c r="E11" s="24"/>
      <c r="F11" s="28">
        <v>0.04</v>
      </c>
      <c r="I11">
        <v>5</v>
      </c>
      <c r="J11" s="40">
        <f t="shared" si="1"/>
        <v>7350</v>
      </c>
      <c r="K11" s="40">
        <f t="shared" si="2"/>
        <v>5250</v>
      </c>
      <c r="R11">
        <v>5</v>
      </c>
      <c r="S11" s="40">
        <f t="shared" si="0"/>
        <v>7350</v>
      </c>
      <c r="T11" s="40">
        <f t="shared" si="0"/>
        <v>5250</v>
      </c>
      <c r="AA11" s="30" t="s">
        <v>35</v>
      </c>
      <c r="AB11" s="22"/>
      <c r="AF11" s="60">
        <f>+F6</f>
        <v>62</v>
      </c>
      <c r="AK11" s="198" t="s">
        <v>118</v>
      </c>
      <c r="AL11" s="194"/>
      <c r="AM11" s="194"/>
      <c r="AN11" s="194"/>
      <c r="AO11" s="198" t="s">
        <v>120</v>
      </c>
      <c r="AP11" s="208" t="s">
        <v>140</v>
      </c>
      <c r="BH11" s="266" t="s">
        <v>131</v>
      </c>
      <c r="BI11" s="266"/>
      <c r="BJ11" s="266"/>
      <c r="BK11" s="266"/>
      <c r="BM11" s="154">
        <f ca="1">+BM5/VLOOKUP(MAX(BL8:BL10),BL8:BM10,2,0)</f>
        <v>0.78749999999999998</v>
      </c>
    </row>
    <row r="12" spans="1:66" ht="15.75" thickTop="1">
      <c r="B12" t="s">
        <v>56</v>
      </c>
      <c r="D12"/>
      <c r="E12" s="24"/>
      <c r="F12" s="28">
        <v>0.04</v>
      </c>
      <c r="I12">
        <v>6</v>
      </c>
      <c r="J12" s="40">
        <f t="shared" si="1"/>
        <v>7350</v>
      </c>
      <c r="K12" s="40">
        <f t="shared" si="2"/>
        <v>5250</v>
      </c>
      <c r="R12">
        <v>6</v>
      </c>
      <c r="S12" s="40">
        <f t="shared" si="0"/>
        <v>7350</v>
      </c>
      <c r="T12" s="40">
        <f t="shared" si="0"/>
        <v>5250</v>
      </c>
      <c r="AA12" s="65" t="s">
        <v>73</v>
      </c>
      <c r="AB12" s="22"/>
      <c r="AF12" s="32">
        <f>+VLOOKUP(AF11,$AB$28:$AI$76,8,FALSE)</f>
        <v>0</v>
      </c>
      <c r="AG12" s="143" t="s">
        <v>169</v>
      </c>
      <c r="AK12" s="209" t="s">
        <v>112</v>
      </c>
      <c r="AL12" s="210"/>
      <c r="AM12" s="210"/>
      <c r="AN12" s="210"/>
      <c r="AO12" s="211">
        <f>+L18</f>
        <v>482.34375</v>
      </c>
      <c r="AP12" s="212">
        <f>+AO12/(J16/12)</f>
        <v>0.78749999999999998</v>
      </c>
    </row>
    <row r="13" spans="1:66" ht="15">
      <c r="A13" s="143" t="s">
        <v>153</v>
      </c>
      <c r="B13" t="s">
        <v>57</v>
      </c>
      <c r="D13"/>
      <c r="E13" s="24"/>
      <c r="F13" s="23">
        <v>240</v>
      </c>
      <c r="I13">
        <v>7</v>
      </c>
      <c r="J13" s="40">
        <f t="shared" si="1"/>
        <v>7350</v>
      </c>
      <c r="K13" s="40">
        <f t="shared" si="2"/>
        <v>5250</v>
      </c>
      <c r="R13">
        <v>7</v>
      </c>
      <c r="S13" s="40">
        <f t="shared" si="0"/>
        <v>7350</v>
      </c>
      <c r="T13" s="40">
        <f t="shared" si="0"/>
        <v>5250</v>
      </c>
      <c r="W13" t="s">
        <v>197</v>
      </c>
      <c r="X13" t="s">
        <v>198</v>
      </c>
      <c r="AA13" t="s">
        <v>72</v>
      </c>
      <c r="AF13" s="15">
        <f>+IF(AND($B$20=1,$F$2&lt;&gt;1),100%,IF($F$3="M",VLOOKUP(AF11,descuento!$A$6:$B$32,2,FALSE),VLOOKUP(AF11,descuento!$C$6:$D$32,2,FALSE)))</f>
        <v>1</v>
      </c>
      <c r="AG13" s="15"/>
      <c r="AK13" s="213" t="s">
        <v>113</v>
      </c>
      <c r="AL13" s="194"/>
      <c r="AM13" s="194"/>
      <c r="AN13" s="194"/>
      <c r="AO13" s="214">
        <f>+U22</f>
        <v>447.3877755615315</v>
      </c>
      <c r="AP13" s="215">
        <f>+AO13/(S17/12)</f>
        <v>0.73042902132494936</v>
      </c>
      <c r="AV13" s="65" t="s">
        <v>75</v>
      </c>
      <c r="BB13" s="167">
        <f>+VLOOKUP(AF11,$AW$28:$BE$76,9,FALSE)</f>
        <v>104765.63105750394</v>
      </c>
      <c r="BH13" s="172" t="s">
        <v>106</v>
      </c>
      <c r="BI13" s="173"/>
      <c r="BJ13" s="173"/>
      <c r="BK13" s="173"/>
      <c r="BL13" s="173"/>
      <c r="BM13" s="173"/>
      <c r="BN13" s="173"/>
    </row>
    <row r="14" spans="1:66" ht="15.75" thickBot="1">
      <c r="A14" s="143" t="s">
        <v>155</v>
      </c>
      <c r="B14" t="s">
        <v>58</v>
      </c>
      <c r="D14"/>
      <c r="E14" s="24"/>
      <c r="F14" s="33">
        <v>0.6</v>
      </c>
      <c r="I14">
        <v>8</v>
      </c>
      <c r="J14" s="40">
        <f t="shared" si="1"/>
        <v>7350</v>
      </c>
      <c r="K14" s="40">
        <f t="shared" si="2"/>
        <v>5250</v>
      </c>
      <c r="R14">
        <v>8</v>
      </c>
      <c r="S14" s="40">
        <f t="shared" si="0"/>
        <v>7350</v>
      </c>
      <c r="T14" s="40">
        <f t="shared" si="0"/>
        <v>5250</v>
      </c>
      <c r="W14" t="s">
        <v>199</v>
      </c>
      <c r="X14" t="s">
        <v>200</v>
      </c>
      <c r="AA14" s="65" t="s">
        <v>74</v>
      </c>
      <c r="AF14" s="32">
        <f>+VLOOKUP(AF11,$AL$28:$AT$76,9,FALSE)</f>
        <v>104765.63105750394</v>
      </c>
      <c r="AG14" s="143" t="s">
        <v>170</v>
      </c>
      <c r="AK14" s="216" t="s">
        <v>117</v>
      </c>
      <c r="AL14" s="217"/>
      <c r="AM14" s="218"/>
      <c r="AN14" s="218"/>
      <c r="AO14" s="227">
        <f>+AF17</f>
        <v>539.99675919804054</v>
      </c>
      <c r="AP14" s="219">
        <f>+AO14/(S16/12)</f>
        <v>0.88162736195598457</v>
      </c>
      <c r="AR14" s="15"/>
      <c r="AT14" s="30"/>
      <c r="AV14" s="65" t="s">
        <v>36</v>
      </c>
      <c r="AW14" s="22"/>
      <c r="AX14" s="34"/>
      <c r="BB14" s="176">
        <f>+AF16</f>
        <v>5.1543311842568507</v>
      </c>
    </row>
    <row r="15" spans="1:66" ht="15.75" thickTop="1">
      <c r="A15" s="143" t="s">
        <v>156</v>
      </c>
      <c r="B15" t="s">
        <v>59</v>
      </c>
      <c r="D15"/>
      <c r="E15" s="24"/>
      <c r="F15" s="28">
        <v>1.2500000000000001E-2</v>
      </c>
      <c r="I15">
        <v>9</v>
      </c>
      <c r="J15" s="40">
        <f t="shared" si="1"/>
        <v>7350</v>
      </c>
      <c r="K15" s="40">
        <f t="shared" si="2"/>
        <v>5250</v>
      </c>
      <c r="R15">
        <v>9</v>
      </c>
      <c r="S15" s="40">
        <f t="shared" si="0"/>
        <v>7350</v>
      </c>
      <c r="T15" s="40">
        <f t="shared" si="0"/>
        <v>5250</v>
      </c>
      <c r="W15" t="s">
        <v>201</v>
      </c>
      <c r="AA15" s="65" t="s">
        <v>75</v>
      </c>
      <c r="AF15" s="167">
        <f>+AF14+AF12*AF13</f>
        <v>104765.63105750394</v>
      </c>
      <c r="AG15" s="167" t="s">
        <v>171</v>
      </c>
      <c r="AH15" s="31"/>
      <c r="AK15" s="194" t="s">
        <v>193</v>
      </c>
      <c r="AL15" s="194"/>
      <c r="AM15" s="194"/>
      <c r="AN15" s="194"/>
      <c r="AO15" s="220">
        <f>+BB15</f>
        <v>539.99675919804054</v>
      </c>
      <c r="AP15" s="221">
        <f>+AO15/(S17/12)</f>
        <v>0.88162736195598457</v>
      </c>
      <c r="AQ15" s="148"/>
      <c r="AT15" s="64"/>
      <c r="AV15" s="65" t="s">
        <v>176</v>
      </c>
      <c r="BB15" s="86">
        <f>+BB13*0.001*BB14</f>
        <v>539.99675919804054</v>
      </c>
      <c r="BH15" t="s">
        <v>143</v>
      </c>
      <c r="BM15" s="13">
        <f t="array" aca="1" ref="BM15" ca="1">+AVERAGE(LARGE($L$28:$L$76,ROW(INDIRECT("1:10"))))</f>
        <v>5250</v>
      </c>
    </row>
    <row r="16" spans="1:66" ht="15">
      <c r="B16" t="s">
        <v>79</v>
      </c>
      <c r="D16"/>
      <c r="E16" s="24"/>
      <c r="F16" s="73">
        <v>2500</v>
      </c>
      <c r="I16">
        <v>10</v>
      </c>
      <c r="J16" s="40">
        <f t="shared" si="1"/>
        <v>7350</v>
      </c>
      <c r="K16" s="40">
        <f t="shared" si="2"/>
        <v>5250</v>
      </c>
      <c r="R16">
        <v>10</v>
      </c>
      <c r="S16" s="40">
        <f t="shared" si="0"/>
        <v>7350</v>
      </c>
      <c r="T16" s="40">
        <f t="shared" si="0"/>
        <v>5250</v>
      </c>
      <c r="AA16" s="65" t="s">
        <v>36</v>
      </c>
      <c r="AB16" s="22"/>
      <c r="AC16" s="34"/>
      <c r="AF16" s="176">
        <f>+VLOOKUP(AF11,'bases renta'!$K$20:$L$65,2,FALSE)</f>
        <v>5.1543311842568507</v>
      </c>
      <c r="AG16" s="143" t="s">
        <v>172</v>
      </c>
      <c r="AV16" s="65" t="s">
        <v>140</v>
      </c>
      <c r="BB16" s="166">
        <f>+BB15/(J17/12)</f>
        <v>0.88162736195598457</v>
      </c>
      <c r="BH16" t="s">
        <v>107</v>
      </c>
      <c r="BM16" s="144">
        <f ca="1">+BM15*BM4/12</f>
        <v>344.53125</v>
      </c>
    </row>
    <row r="17" spans="2:65" ht="15">
      <c r="B17" t="s">
        <v>103</v>
      </c>
      <c r="D17"/>
      <c r="E17" s="24"/>
      <c r="F17" s="28">
        <v>3.5000000000000003E-2</v>
      </c>
      <c r="H17" s="195" t="s">
        <v>134</v>
      </c>
      <c r="I17" s="143" t="s">
        <v>148</v>
      </c>
      <c r="J17" s="163">
        <f>+AVERAGE(J7:J16)</f>
        <v>7350</v>
      </c>
      <c r="K17" s="163">
        <f>+AVERAGE(K7:K16)</f>
        <v>5250</v>
      </c>
      <c r="L17" s="143"/>
      <c r="P17" s="195"/>
      <c r="Q17" s="143" t="s">
        <v>134</v>
      </c>
      <c r="R17" s="143" t="s">
        <v>148</v>
      </c>
      <c r="S17" s="163">
        <f t="shared" si="0"/>
        <v>7350</v>
      </c>
      <c r="T17" s="163">
        <f t="shared" si="0"/>
        <v>5250</v>
      </c>
      <c r="U17" s="143" t="s">
        <v>162</v>
      </c>
      <c r="Z17" s="195"/>
      <c r="AA17" s="65" t="s">
        <v>176</v>
      </c>
      <c r="AF17" s="86">
        <f>+AF15*0.001*AF16</f>
        <v>539.99675919804054</v>
      </c>
      <c r="AG17" s="175" t="s">
        <v>173</v>
      </c>
      <c r="AH17" s="149"/>
      <c r="BH17" t="s">
        <v>108</v>
      </c>
      <c r="BM17" s="13">
        <f>+VLOOKUP(AF11,$R$28:$Y$76,8,FALSE)</f>
        <v>19955.358296667411</v>
      </c>
    </row>
    <row r="18" spans="2:65" ht="30" customHeight="1">
      <c r="B18" s="20" t="s">
        <v>182</v>
      </c>
      <c r="D18"/>
      <c r="E18" s="24"/>
      <c r="F18" s="28">
        <v>0</v>
      </c>
      <c r="H18" s="196"/>
      <c r="I18" t="s">
        <v>138</v>
      </c>
      <c r="J18" s="163">
        <f>+BM2</f>
        <v>420</v>
      </c>
      <c r="K18" s="164" t="s">
        <v>141</v>
      </c>
      <c r="L18" s="86">
        <f>+MIN(J17*J20/12,F16)</f>
        <v>482.34375</v>
      </c>
      <c r="M18" s="143" t="s">
        <v>158</v>
      </c>
      <c r="N18" s="143"/>
      <c r="P18" s="196"/>
      <c r="R18" t="s">
        <v>138</v>
      </c>
      <c r="S18" s="163">
        <f>+J18</f>
        <v>420</v>
      </c>
      <c r="T18" s="164" t="s">
        <v>144</v>
      </c>
      <c r="U18" s="86">
        <f>+(K17*S20)/12</f>
        <v>344.53125</v>
      </c>
      <c r="V18" s="143" t="s">
        <v>163</v>
      </c>
      <c r="W18" s="39" t="s">
        <v>140</v>
      </c>
      <c r="X18" s="166">
        <f>+U22/(J17/12)</f>
        <v>0.73042902132494936</v>
      </c>
      <c r="Y18" t="s">
        <v>167</v>
      </c>
      <c r="Z18" s="196"/>
      <c r="AA18" s="65" t="s">
        <v>140</v>
      </c>
      <c r="AF18" s="177">
        <f>+AF17/(J17/12)</f>
        <v>0.88162736195598457</v>
      </c>
      <c r="AG18" s="143" t="s">
        <v>174</v>
      </c>
      <c r="AH18" s="31"/>
      <c r="BH18" t="s">
        <v>109</v>
      </c>
      <c r="BM18" s="14">
        <f>+AF16</f>
        <v>5.1543311842568507</v>
      </c>
    </row>
    <row r="19" spans="2:65" ht="72">
      <c r="B19" s="20" t="s">
        <v>183</v>
      </c>
      <c r="F19" s="23">
        <f>+salidaformulas!A10</f>
        <v>700</v>
      </c>
      <c r="H19" s="196" t="s">
        <v>157</v>
      </c>
      <c r="I19" t="s">
        <v>139</v>
      </c>
      <c r="J19" s="163">
        <f>+BM3</f>
        <v>180</v>
      </c>
      <c r="K19" s="21" t="s">
        <v>152</v>
      </c>
      <c r="L19" s="150">
        <f>+F23</f>
        <v>612.5</v>
      </c>
      <c r="M19" s="143" t="s">
        <v>160</v>
      </c>
      <c r="N19" s="143"/>
      <c r="P19" s="196"/>
      <c r="R19" s="39" t="s">
        <v>139</v>
      </c>
      <c r="S19" s="163">
        <f>+J19</f>
        <v>180</v>
      </c>
      <c r="T19" s="143" t="s">
        <v>145</v>
      </c>
      <c r="U19" s="171">
        <f>+BM17</f>
        <v>19955.358296667411</v>
      </c>
      <c r="V19" s="143" t="s">
        <v>164</v>
      </c>
      <c r="W19" s="39" t="s">
        <v>152</v>
      </c>
      <c r="X19" s="140">
        <f>+L19</f>
        <v>612.5</v>
      </c>
      <c r="Y19" s="143" t="str">
        <f>+M19</f>
        <v>H</v>
      </c>
      <c r="Z19" s="196"/>
      <c r="AA19" s="65" t="s">
        <v>152</v>
      </c>
      <c r="AF19" s="150">
        <f>+X19</f>
        <v>612.5</v>
      </c>
      <c r="AG19" s="143" t="s">
        <v>160</v>
      </c>
      <c r="AI19" s="34"/>
      <c r="AJ19" s="34"/>
      <c r="BH19" t="s">
        <v>110</v>
      </c>
      <c r="BM19" s="144">
        <f>+(BM17/1000)*BM18</f>
        <v>102.85652556153151</v>
      </c>
    </row>
    <row r="20" spans="2:65" ht="30">
      <c r="B20" s="20" t="s">
        <v>194</v>
      </c>
      <c r="F20" s="236">
        <v>10.5</v>
      </c>
      <c r="H20" s="198" t="s">
        <v>159</v>
      </c>
      <c r="I20" s="39" t="s">
        <v>140</v>
      </c>
      <c r="J20" s="165">
        <f>+BM4</f>
        <v>0.78749999999999998</v>
      </c>
      <c r="K20" s="143" t="s">
        <v>142</v>
      </c>
      <c r="L20" s="166">
        <f>+L18/L19</f>
        <v>0.78749999999999998</v>
      </c>
      <c r="M20" s="143" t="s">
        <v>161</v>
      </c>
      <c r="N20" s="143"/>
      <c r="Q20" s="143" t="s">
        <v>154</v>
      </c>
      <c r="R20" s="39" t="s">
        <v>140</v>
      </c>
      <c r="S20" s="165">
        <f>+J20</f>
        <v>0.78749999999999998</v>
      </c>
      <c r="T20" s="169" t="s">
        <v>146</v>
      </c>
      <c r="U20" s="167">
        <f>+BM18</f>
        <v>5.1543311842568507</v>
      </c>
      <c r="V20" s="143" t="s">
        <v>0</v>
      </c>
      <c r="W20" s="39" t="s">
        <v>142</v>
      </c>
      <c r="X20" s="166">
        <f>+U22/L19</f>
        <v>0.73042902132494936</v>
      </c>
      <c r="Y20" s="143" t="s">
        <v>168</v>
      </c>
      <c r="AA20" s="65" t="s">
        <v>142</v>
      </c>
      <c r="AF20" s="166">
        <f>+AF17/L19</f>
        <v>0.88162736195598457</v>
      </c>
      <c r="AG20" s="143" t="s">
        <v>175</v>
      </c>
      <c r="AH20" s="156"/>
      <c r="AS20" s="38"/>
      <c r="BH20" s="143" t="s">
        <v>111</v>
      </c>
      <c r="BM20" s="145">
        <f ca="1">IF(BM2&gt;=240,MAX(BM16+BM19,265),BM16+BM19)</f>
        <v>447.3877755615315</v>
      </c>
    </row>
    <row r="21" spans="2:65" s="34" customFormat="1" ht="30">
      <c r="C21" s="203" t="s">
        <v>195</v>
      </c>
      <c r="F21" s="202">
        <f>+SUMIF(F28:F76,"&gt;0")</f>
        <v>420</v>
      </c>
      <c r="G21" s="168">
        <f>+F21/12</f>
        <v>35</v>
      </c>
      <c r="H21" s="197"/>
      <c r="J21" s="193"/>
      <c r="P21" s="197"/>
      <c r="T21" s="168" t="s">
        <v>110</v>
      </c>
      <c r="U21" s="86">
        <f>+U19*0.001*U20</f>
        <v>102.85652556153151</v>
      </c>
      <c r="V21" s="169" t="s">
        <v>165</v>
      </c>
      <c r="Z21" s="197"/>
      <c r="AH21" s="156"/>
      <c r="AQ21" s="147"/>
      <c r="AR21"/>
      <c r="AS21" s="16"/>
      <c r="AU21" s="197"/>
      <c r="BG21" s="188"/>
      <c r="BH21" s="151" t="s">
        <v>131</v>
      </c>
      <c r="BI21"/>
      <c r="BJ21"/>
      <c r="BK21"/>
      <c r="BM21" s="153">
        <f ca="1">+BM20*12/VLOOKUP(MAX($BL$8:$BL$10),$BL$8:$BN$10,2,0)</f>
        <v>0.73042902132494936</v>
      </c>
    </row>
    <row r="22" spans="2:65" ht="15" customHeight="1">
      <c r="B22" s="23"/>
      <c r="C22" s="29" t="s">
        <v>190</v>
      </c>
      <c r="E22" s="37"/>
      <c r="F22" s="204">
        <f>+AVERAGEIF(G28:G76,"&gt;0")</f>
        <v>7350</v>
      </c>
      <c r="G22" s="150"/>
      <c r="T22" s="143" t="s">
        <v>147</v>
      </c>
      <c r="U22" s="170">
        <f>+U21+U18</f>
        <v>447.3877755615315</v>
      </c>
      <c r="V22" s="143" t="s">
        <v>166</v>
      </c>
      <c r="AS22" s="16"/>
    </row>
    <row r="23" spans="2:65" ht="15">
      <c r="B23" s="61"/>
      <c r="C23" s="29" t="s">
        <v>191</v>
      </c>
      <c r="E23" s="203"/>
      <c r="F23" s="204">
        <f>+F22/12</f>
        <v>612.5</v>
      </c>
      <c r="G23" s="150"/>
      <c r="I23" s="40"/>
      <c r="T23" s="143" t="s">
        <v>196</v>
      </c>
      <c r="U23" s="231">
        <v>0.04</v>
      </c>
      <c r="AA23" s="20"/>
      <c r="AB23" s="22"/>
      <c r="AC23" s="22"/>
      <c r="AD23" s="34"/>
      <c r="AE23" s="34"/>
      <c r="AF23" s="35"/>
    </row>
    <row r="24" spans="2:65" ht="15.75" thickBot="1">
      <c r="B24" s="264" t="s">
        <v>121</v>
      </c>
      <c r="C24" s="264"/>
      <c r="D24" s="264"/>
      <c r="E24" s="264"/>
      <c r="F24" s="264"/>
      <c r="G24" s="264"/>
      <c r="I24" s="264" t="s">
        <v>122</v>
      </c>
      <c r="J24" s="264"/>
      <c r="K24" s="264"/>
      <c r="L24" s="264"/>
      <c r="M24" s="264"/>
      <c r="N24" s="264"/>
      <c r="O24" s="264"/>
      <c r="Q24" s="264" t="s">
        <v>123</v>
      </c>
      <c r="R24" s="264"/>
      <c r="S24" s="264"/>
      <c r="T24" s="264"/>
      <c r="U24" s="264"/>
      <c r="V24" s="264"/>
      <c r="W24" s="264"/>
      <c r="X24" s="264"/>
      <c r="Y24" s="264"/>
      <c r="AA24" s="264" t="s">
        <v>124</v>
      </c>
      <c r="AB24" s="264"/>
      <c r="AC24" s="264"/>
      <c r="AD24" s="264"/>
      <c r="AE24" s="264"/>
      <c r="AF24" s="264"/>
      <c r="AG24" s="264"/>
      <c r="AH24" s="264"/>
      <c r="AI24" s="264"/>
      <c r="AK24" s="264" t="s">
        <v>125</v>
      </c>
      <c r="AL24" s="264"/>
      <c r="AM24" s="264"/>
      <c r="AN24" s="264"/>
      <c r="AO24" s="264"/>
      <c r="AP24" s="264"/>
      <c r="AQ24" s="264"/>
      <c r="AR24" s="264"/>
      <c r="AS24" s="264"/>
      <c r="AT24" s="264"/>
      <c r="AV24" s="264" t="s">
        <v>126</v>
      </c>
      <c r="AW24" s="264"/>
      <c r="AX24" s="264"/>
      <c r="AY24" s="264"/>
      <c r="AZ24" s="264"/>
      <c r="BA24" s="264"/>
      <c r="BB24" s="264"/>
      <c r="BC24" s="264"/>
      <c r="BD24" s="264"/>
      <c r="BE24" s="264"/>
    </row>
    <row r="25" spans="2:65" ht="16.5" thickTop="1" thickBot="1">
      <c r="B25" s="29" t="s">
        <v>135</v>
      </c>
      <c r="I25" s="143" t="s">
        <v>87</v>
      </c>
      <c r="O25" s="72"/>
      <c r="Q25" s="269" t="s">
        <v>104</v>
      </c>
      <c r="R25" s="269"/>
      <c r="S25" s="269"/>
      <c r="T25" s="269"/>
      <c r="U25" s="269"/>
      <c r="V25" s="269"/>
      <c r="W25" s="269"/>
      <c r="X25" s="269"/>
      <c r="Y25" s="269"/>
      <c r="AA25" s="265" t="s">
        <v>116</v>
      </c>
      <c r="AB25" s="265"/>
      <c r="AC25" s="265"/>
      <c r="AD25" s="265"/>
      <c r="AE25" s="265"/>
      <c r="AF25" s="265"/>
      <c r="AG25" s="265"/>
      <c r="AH25" s="265"/>
      <c r="AI25" s="265"/>
      <c r="AK25" s="265" t="s">
        <v>115</v>
      </c>
      <c r="AL25" s="265"/>
      <c r="AM25" s="265"/>
      <c r="AN25" s="265"/>
      <c r="AO25" s="265"/>
      <c r="AP25" s="265"/>
      <c r="AQ25" s="265"/>
      <c r="AR25" s="265"/>
      <c r="AS25" s="265"/>
      <c r="AT25" s="265"/>
      <c r="AV25" s="265" t="s">
        <v>181</v>
      </c>
      <c r="AW25" s="265"/>
      <c r="AX25" s="265"/>
      <c r="AY25" s="265"/>
      <c r="AZ25" s="265"/>
      <c r="BA25" s="265"/>
      <c r="BB25" s="265"/>
      <c r="BC25" s="265"/>
      <c r="BD25" s="265"/>
      <c r="BE25" s="265"/>
    </row>
    <row r="26" spans="2:65" ht="87" thickTop="1" thickBot="1">
      <c r="B26" s="44" t="s">
        <v>38</v>
      </c>
      <c r="C26" s="41" t="s">
        <v>63</v>
      </c>
      <c r="D26" s="41" t="s">
        <v>40</v>
      </c>
      <c r="E26" s="42" t="s">
        <v>41</v>
      </c>
      <c r="F26" s="41" t="s">
        <v>43</v>
      </c>
      <c r="G26" s="190" t="s">
        <v>42</v>
      </c>
      <c r="H26" s="197"/>
      <c r="I26" s="44" t="s">
        <v>38</v>
      </c>
      <c r="J26" s="42" t="s">
        <v>80</v>
      </c>
      <c r="K26" s="42" t="s">
        <v>43</v>
      </c>
      <c r="L26" s="42" t="s">
        <v>177</v>
      </c>
      <c r="M26" s="42" t="s">
        <v>178</v>
      </c>
      <c r="N26" s="178" t="s">
        <v>179</v>
      </c>
      <c r="O26" s="45" t="s">
        <v>180</v>
      </c>
      <c r="P26" s="197"/>
      <c r="Q26" s="44" t="s">
        <v>38</v>
      </c>
      <c r="R26" s="41" t="s">
        <v>39</v>
      </c>
      <c r="S26" s="41" t="s">
        <v>69</v>
      </c>
      <c r="T26" s="41" t="s">
        <v>64</v>
      </c>
      <c r="U26" s="41" t="s">
        <v>105</v>
      </c>
      <c r="V26" s="41" t="s">
        <v>100</v>
      </c>
      <c r="W26" s="42" t="s">
        <v>44</v>
      </c>
      <c r="X26" s="42" t="s">
        <v>45</v>
      </c>
      <c r="Y26" s="43" t="s">
        <v>101</v>
      </c>
      <c r="Z26" s="197"/>
      <c r="AA26" s="44" t="s">
        <v>38</v>
      </c>
      <c r="AB26" s="41" t="s">
        <v>39</v>
      </c>
      <c r="AC26" s="41" t="s">
        <v>69</v>
      </c>
      <c r="AD26" s="41" t="s">
        <v>64</v>
      </c>
      <c r="AE26" s="41" t="s">
        <v>102</v>
      </c>
      <c r="AF26" s="41" t="s">
        <v>100</v>
      </c>
      <c r="AG26" s="42" t="s">
        <v>44</v>
      </c>
      <c r="AH26" s="42" t="s">
        <v>45</v>
      </c>
      <c r="AI26" s="43" t="s">
        <v>101</v>
      </c>
      <c r="AK26" s="44" t="s">
        <v>38</v>
      </c>
      <c r="AL26" s="41" t="s">
        <v>39</v>
      </c>
      <c r="AM26" s="41" t="s">
        <v>69</v>
      </c>
      <c r="AN26" s="41" t="s">
        <v>64</v>
      </c>
      <c r="AO26" s="41" t="s">
        <v>65</v>
      </c>
      <c r="AP26" s="41" t="s">
        <v>192</v>
      </c>
      <c r="AQ26" s="41" t="s">
        <v>100</v>
      </c>
      <c r="AR26" s="42" t="s">
        <v>44</v>
      </c>
      <c r="AS26" s="42" t="s">
        <v>45</v>
      </c>
      <c r="AT26" s="66" t="s">
        <v>100</v>
      </c>
      <c r="AV26" s="44" t="s">
        <v>38</v>
      </c>
      <c r="AW26" s="41" t="s">
        <v>39</v>
      </c>
      <c r="AX26" s="41" t="s">
        <v>69</v>
      </c>
      <c r="AY26" s="41" t="s">
        <v>64</v>
      </c>
      <c r="AZ26" s="41" t="s">
        <v>65</v>
      </c>
      <c r="BA26" s="41" t="s">
        <v>192</v>
      </c>
      <c r="BB26" s="41" t="s">
        <v>100</v>
      </c>
      <c r="BC26" s="42" t="s">
        <v>44</v>
      </c>
      <c r="BD26" s="42" t="s">
        <v>45</v>
      </c>
      <c r="BE26" s="66" t="s">
        <v>100</v>
      </c>
    </row>
    <row r="27" spans="2:65" ht="15.75" thickTop="1" thickBot="1">
      <c r="B27" s="46"/>
      <c r="G27" s="191"/>
      <c r="I27" s="46"/>
      <c r="J27" s="46"/>
      <c r="K27" s="46"/>
      <c r="L27" s="46"/>
      <c r="M27" s="46"/>
      <c r="N27" s="46"/>
      <c r="O27" s="20"/>
      <c r="Q27" s="46"/>
      <c r="R27" s="20"/>
      <c r="S27" s="20"/>
      <c r="T27" s="20"/>
      <c r="U27" s="20"/>
      <c r="V27" s="20"/>
      <c r="W27" s="22"/>
      <c r="X27" s="22"/>
      <c r="AA27" s="46"/>
      <c r="AB27" s="20"/>
      <c r="AC27" s="20"/>
      <c r="AD27" s="20"/>
      <c r="AE27" s="20"/>
      <c r="AF27" s="20"/>
      <c r="AG27" s="22"/>
      <c r="AH27" s="22"/>
      <c r="AK27" s="46"/>
      <c r="AL27" s="20"/>
      <c r="AM27" s="20"/>
      <c r="AN27" s="20"/>
      <c r="AO27" s="20"/>
      <c r="AP27" s="20"/>
      <c r="AQ27" s="20"/>
      <c r="AR27" s="22"/>
      <c r="AS27" s="22"/>
      <c r="AV27" s="46"/>
      <c r="AW27" s="20"/>
      <c r="AX27" s="20"/>
      <c r="AY27" s="20"/>
      <c r="AZ27" s="20"/>
      <c r="BA27" s="20"/>
      <c r="BB27" s="20"/>
      <c r="BC27" s="22"/>
      <c r="BD27" s="22"/>
    </row>
    <row r="28" spans="2:65" ht="15.75" thickTop="1" thickBot="1">
      <c r="B28" s="57">
        <v>1</v>
      </c>
      <c r="C28" s="48">
        <f>+F4</f>
        <v>22</v>
      </c>
      <c r="D28" s="184">
        <v>1</v>
      </c>
      <c r="E28" s="48">
        <f>+IF($C28&gt;=$F$6,0,$F$19*D28)</f>
        <v>700</v>
      </c>
      <c r="F28" s="205">
        <f>+IF($C28&gt;=$F$6,0,$F$20)</f>
        <v>10.5</v>
      </c>
      <c r="G28" s="192">
        <f>+E28*F28</f>
        <v>7350</v>
      </c>
      <c r="I28" s="57">
        <f>+B28</f>
        <v>1</v>
      </c>
      <c r="J28" s="75">
        <f>+C28</f>
        <v>22</v>
      </c>
      <c r="K28" s="75">
        <f t="shared" ref="K28:K76" si="3">+IF(AL28&lt;=$AF$11,1,0)*F28</f>
        <v>10.5</v>
      </c>
      <c r="L28" s="48">
        <f>+IF(AL28&gt;$AF$11,0,IF(E28&gt;500,500*F28,E28*F28))</f>
        <v>5250</v>
      </c>
      <c r="M28" s="75">
        <f t="shared" ref="M28:M76" si="4">+IF(AL28&gt;$AF$11,0,IF(G28-L28 &lt;= 0,0,G28-L28))</f>
        <v>2100</v>
      </c>
      <c r="N28" s="75">
        <f>+IF($F$7&lt;7,L28+M28,IF(AL28&gt;$AF$11,0,IF($F$2=1,IF($J28&lt;$F$5,IF(G28&lt;=$F$16*12,G28,$F$16*12),G28),G28)))</f>
        <v>7350</v>
      </c>
      <c r="O28" s="179">
        <f>+IFERROR(N28/K28,0)</f>
        <v>700</v>
      </c>
      <c r="Q28" s="57">
        <f t="shared" ref="Q28:Q76" si="5">+I28</f>
        <v>1</v>
      </c>
      <c r="R28" s="87">
        <f t="shared" ref="R28:R76" si="6">+J28+1</f>
        <v>23</v>
      </c>
      <c r="S28" s="87">
        <f t="shared" ref="S28:S76" si="7">+IF(R28&lt;=$AF$11,1,0)</f>
        <v>1</v>
      </c>
      <c r="T28" s="141">
        <f>+$F$9-$F$17</f>
        <v>0.1</v>
      </c>
      <c r="U28" s="87">
        <f t="shared" ref="U28:U76" si="8">+M28</f>
        <v>2100</v>
      </c>
      <c r="V28" s="87">
        <f>+Y27</f>
        <v>0</v>
      </c>
      <c r="W28" s="87">
        <f>+T28*U28*S28</f>
        <v>210</v>
      </c>
      <c r="X28" s="87">
        <f>+$U$23*V28</f>
        <v>0</v>
      </c>
      <c r="Y28" s="142">
        <f>+(V28+W28+X28)</f>
        <v>210</v>
      </c>
      <c r="AA28" s="57">
        <f t="shared" ref="AA28:AA76" si="9">+B28</f>
        <v>1</v>
      </c>
      <c r="AB28" s="48">
        <f t="shared" ref="AB28:AB76" si="10">+C28+1</f>
        <v>23</v>
      </c>
      <c r="AC28" s="48">
        <f t="shared" ref="AC28:AC76" si="11">+IF(C28&lt;$F$5,1,0)</f>
        <v>0</v>
      </c>
      <c r="AD28" s="50">
        <f>F8</f>
        <v>0.15</v>
      </c>
      <c r="AE28" s="48">
        <f t="shared" ref="AE28:AE76" si="12">+IF($F$2=1,IF(G28&lt;=2500*12,G28,2500*12),G28)</f>
        <v>7350</v>
      </c>
      <c r="AF28" s="48">
        <f>+AI27</f>
        <v>0</v>
      </c>
      <c r="AG28" s="48">
        <f>+AD28*AE28*$AC28</f>
        <v>0</v>
      </c>
      <c r="AH28" s="48">
        <f t="shared" ref="AH28:AH76" si="13">+AF28*$F$11</f>
        <v>0</v>
      </c>
      <c r="AI28" s="49">
        <f>+(AF28+AG28+AH28)</f>
        <v>0</v>
      </c>
      <c r="AK28" s="57">
        <f>+AA28</f>
        <v>1</v>
      </c>
      <c r="AL28" s="48">
        <f>+AB28</f>
        <v>23</v>
      </c>
      <c r="AM28" s="48">
        <f t="shared" ref="AM28:AM65" si="14">+IF($C28&gt;=$F$5,1,0)</f>
        <v>1</v>
      </c>
      <c r="AN28" s="50">
        <f t="shared" ref="AN28:AN76" si="15">+$F$9*AM28</f>
        <v>0.13500000000000001</v>
      </c>
      <c r="AO28" s="50">
        <f t="shared" ref="AO28:AO76" si="16">+AM28*$F$10</f>
        <v>0.18</v>
      </c>
      <c r="AP28" s="207">
        <f>+G28</f>
        <v>7350</v>
      </c>
      <c r="AQ28" s="48">
        <f>+AT27</f>
        <v>0</v>
      </c>
      <c r="AR28" s="52">
        <f>+(AN28*AP28+AO28*(AP28/12))*AM28</f>
        <v>1102.5</v>
      </c>
      <c r="AS28" s="48">
        <f>+AQ28*$F$12</f>
        <v>0</v>
      </c>
      <c r="AT28" s="49">
        <f>+(AQ28+AR28+AS28)</f>
        <v>1102.5</v>
      </c>
      <c r="AV28" s="57">
        <f t="shared" ref="AV28:AW59" si="17">+AK28</f>
        <v>1</v>
      </c>
      <c r="AW28" s="48">
        <f t="shared" si="17"/>
        <v>23</v>
      </c>
      <c r="AX28" s="48">
        <v>1</v>
      </c>
      <c r="AY28" s="50">
        <f t="shared" ref="AY28:AY76" si="18">+$F$9*AX28</f>
        <v>0.13500000000000001</v>
      </c>
      <c r="AZ28" s="50">
        <f t="shared" ref="AZ28:AZ76" si="19">+AX28*$F$10</f>
        <v>0.18</v>
      </c>
      <c r="BA28" s="207">
        <f>+G28</f>
        <v>7350</v>
      </c>
      <c r="BB28" s="48">
        <f>+BE27</f>
        <v>0</v>
      </c>
      <c r="BC28" s="48">
        <f>+(AY28*BA28+AZ28*(BA28/12))*AX28</f>
        <v>1102.5</v>
      </c>
      <c r="BD28" s="48">
        <f>+BB28*$F$12</f>
        <v>0</v>
      </c>
      <c r="BE28" s="49">
        <f>+(BB28+BC28+BD28)</f>
        <v>1102.5</v>
      </c>
    </row>
    <row r="29" spans="2:65" ht="15.75" thickTop="1" thickBot="1">
      <c r="B29" s="58">
        <f t="shared" ref="B29:C44" si="20">+B28+1</f>
        <v>2</v>
      </c>
      <c r="C29" s="52">
        <f t="shared" si="20"/>
        <v>23</v>
      </c>
      <c r="D29" s="185">
        <f>+D28*(1+$F$18)</f>
        <v>1</v>
      </c>
      <c r="E29" s="48">
        <f t="shared" ref="E29:E76" si="21">+IF($C29&gt;=$F$6,0,$F$19*D29)</f>
        <v>700</v>
      </c>
      <c r="F29" s="205">
        <f t="shared" ref="F29:F76" si="22">+IF($C29&gt;=$F$6,0,$F$20)</f>
        <v>10.5</v>
      </c>
      <c r="G29" s="192">
        <f t="shared" ref="G29:G76" si="23">+E29*F29</f>
        <v>7350</v>
      </c>
      <c r="I29" s="58">
        <f t="shared" ref="I29:I76" si="24">+I28+1</f>
        <v>2</v>
      </c>
      <c r="J29" s="74">
        <f t="shared" ref="J29:J76" si="25">+C29</f>
        <v>23</v>
      </c>
      <c r="K29" s="74">
        <f t="shared" si="3"/>
        <v>10.5</v>
      </c>
      <c r="L29" s="52">
        <f t="shared" ref="L29:L76" si="26">+IF(AL29&gt;$AF$11,0,IF(E29&gt;500,500*F29,E29*F29))</f>
        <v>5250</v>
      </c>
      <c r="M29" s="74">
        <f t="shared" si="4"/>
        <v>2100</v>
      </c>
      <c r="N29" s="74">
        <f t="shared" ref="N29:N76" si="27">+IF($F$7&lt;7,L29+M29,IF(AL29&gt;$AF$11,0,IF($F$2=1,IF($J29&lt;$F$5,IF(G29&lt;=$F$16*12,G29,$F$16*12),G29),G29)))</f>
        <v>7350</v>
      </c>
      <c r="O29" s="180">
        <f t="shared" ref="O29:O76" si="28">+IFERROR(N29/K29,0)</f>
        <v>700</v>
      </c>
      <c r="Q29" s="58">
        <f t="shared" si="5"/>
        <v>2</v>
      </c>
      <c r="R29" s="52">
        <f t="shared" si="6"/>
        <v>24</v>
      </c>
      <c r="S29" s="52">
        <f t="shared" si="7"/>
        <v>1</v>
      </c>
      <c r="T29" s="54">
        <f>+T28</f>
        <v>0.1</v>
      </c>
      <c r="U29" s="52">
        <f t="shared" si="8"/>
        <v>2100</v>
      </c>
      <c r="V29" s="52">
        <f t="shared" ref="V29:V76" si="29">+Y28</f>
        <v>210</v>
      </c>
      <c r="W29" s="52">
        <f t="shared" ref="W29:W76" si="30">+T29*U29*S29</f>
        <v>210</v>
      </c>
      <c r="X29" s="87">
        <f t="shared" ref="X29:X76" si="31">+$U$23*V29</f>
        <v>8.4</v>
      </c>
      <c r="Y29" s="53">
        <f t="shared" ref="Y29:Y76" si="32">+(V29+W29+X29)</f>
        <v>428.4</v>
      </c>
      <c r="AA29" s="58">
        <f t="shared" si="9"/>
        <v>2</v>
      </c>
      <c r="AB29" s="52">
        <f t="shared" si="10"/>
        <v>24</v>
      </c>
      <c r="AC29" s="52">
        <f t="shared" si="11"/>
        <v>0</v>
      </c>
      <c r="AD29" s="54">
        <f>+AD28</f>
        <v>0.15</v>
      </c>
      <c r="AE29" s="52">
        <f t="shared" si="12"/>
        <v>7350</v>
      </c>
      <c r="AF29" s="52">
        <f t="shared" ref="AF29:AF76" si="33">+AI28</f>
        <v>0</v>
      </c>
      <c r="AG29" s="52">
        <f t="shared" ref="AG29:AG76" si="34">+AD29*AE29*$AC29</f>
        <v>0</v>
      </c>
      <c r="AH29" s="52">
        <f t="shared" si="13"/>
        <v>0</v>
      </c>
      <c r="AI29" s="53">
        <f t="shared" ref="AI29:AI76" si="35">+(AF29+AG29+AH29)</f>
        <v>0</v>
      </c>
      <c r="AK29" s="58">
        <f t="shared" ref="AK29:AL76" si="36">+AA29</f>
        <v>2</v>
      </c>
      <c r="AL29" s="52">
        <f t="shared" si="36"/>
        <v>24</v>
      </c>
      <c r="AM29" s="52">
        <f t="shared" si="14"/>
        <v>1</v>
      </c>
      <c r="AN29" s="54">
        <f t="shared" si="15"/>
        <v>0.13500000000000001</v>
      </c>
      <c r="AO29" s="54">
        <f t="shared" si="16"/>
        <v>0.18</v>
      </c>
      <c r="AP29" s="207">
        <f t="shared" ref="AP29:AP76" si="37">+G29</f>
        <v>7350</v>
      </c>
      <c r="AQ29" s="52">
        <f t="shared" ref="AQ29:AQ76" si="38">+AT28</f>
        <v>1102.5</v>
      </c>
      <c r="AR29" s="52">
        <f t="shared" ref="AR29:AR76" si="39">+(AN29*AP29+AO29*(AP29/12))*AM29</f>
        <v>1102.5</v>
      </c>
      <c r="AS29" s="48">
        <f t="shared" ref="AS29:AS76" si="40">+AQ29*$F$12</f>
        <v>44.1</v>
      </c>
      <c r="AT29" s="53">
        <f t="shared" ref="AT29:AT76" si="41">+(AQ29+AR29+AS29)</f>
        <v>2249.1</v>
      </c>
      <c r="AV29" s="58">
        <f t="shared" si="17"/>
        <v>2</v>
      </c>
      <c r="AW29" s="52">
        <f t="shared" si="17"/>
        <v>24</v>
      </c>
      <c r="AX29" s="48">
        <v>1</v>
      </c>
      <c r="AY29" s="54">
        <f t="shared" si="18"/>
        <v>0.13500000000000001</v>
      </c>
      <c r="AZ29" s="54">
        <f t="shared" si="19"/>
        <v>0.18</v>
      </c>
      <c r="BA29" s="207">
        <f t="shared" ref="BA29:BA76" si="42">+G29</f>
        <v>7350</v>
      </c>
      <c r="BB29" s="52">
        <f t="shared" ref="BB29:BB76" si="43">+BE28</f>
        <v>1102.5</v>
      </c>
      <c r="BC29" s="48">
        <f t="shared" ref="BC29:BC76" si="44">+(AY29*BA29+AZ29*(BA29/12))*AX29</f>
        <v>1102.5</v>
      </c>
      <c r="BD29" s="48">
        <f t="shared" ref="BD29:BD76" si="45">+BB29*$F$12</f>
        <v>44.1</v>
      </c>
      <c r="BE29" s="53">
        <f t="shared" ref="BE29:BE76" si="46">+(BB29+BC29+BD29)</f>
        <v>2249.1</v>
      </c>
    </row>
    <row r="30" spans="2:65" ht="15.75" thickTop="1" thickBot="1">
      <c r="B30" s="58">
        <f t="shared" si="20"/>
        <v>3</v>
      </c>
      <c r="C30" s="52">
        <f t="shared" si="20"/>
        <v>24</v>
      </c>
      <c r="D30" s="185">
        <f t="shared" ref="D30:D76" si="47">+D29*(1+$F$18)</f>
        <v>1</v>
      </c>
      <c r="E30" s="48">
        <f t="shared" si="21"/>
        <v>700</v>
      </c>
      <c r="F30" s="205">
        <f t="shared" si="22"/>
        <v>10.5</v>
      </c>
      <c r="G30" s="192">
        <f t="shared" si="23"/>
        <v>7350</v>
      </c>
      <c r="I30" s="58">
        <f t="shared" si="24"/>
        <v>3</v>
      </c>
      <c r="J30" s="74">
        <f t="shared" si="25"/>
        <v>24</v>
      </c>
      <c r="K30" s="74">
        <f t="shared" si="3"/>
        <v>10.5</v>
      </c>
      <c r="L30" s="52">
        <f t="shared" si="26"/>
        <v>5250</v>
      </c>
      <c r="M30" s="74">
        <f t="shared" si="4"/>
        <v>2100</v>
      </c>
      <c r="N30" s="74">
        <f t="shared" si="27"/>
        <v>7350</v>
      </c>
      <c r="O30" s="180">
        <f t="shared" si="28"/>
        <v>700</v>
      </c>
      <c r="Q30" s="58">
        <f t="shared" si="5"/>
        <v>3</v>
      </c>
      <c r="R30" s="52">
        <f t="shared" si="6"/>
        <v>25</v>
      </c>
      <c r="S30" s="52">
        <f t="shared" si="7"/>
        <v>1</v>
      </c>
      <c r="T30" s="54">
        <f t="shared" ref="T30:T76" si="48">+T29</f>
        <v>0.1</v>
      </c>
      <c r="U30" s="52">
        <f t="shared" si="8"/>
        <v>2100</v>
      </c>
      <c r="V30" s="52">
        <f t="shared" si="29"/>
        <v>428.4</v>
      </c>
      <c r="W30" s="52">
        <f t="shared" si="30"/>
        <v>210</v>
      </c>
      <c r="X30" s="87">
        <f t="shared" si="31"/>
        <v>17.135999999999999</v>
      </c>
      <c r="Y30" s="53">
        <f t="shared" si="32"/>
        <v>655.53599999999994</v>
      </c>
      <c r="AA30" s="58">
        <f t="shared" si="9"/>
        <v>3</v>
      </c>
      <c r="AB30" s="52">
        <f t="shared" si="10"/>
        <v>25</v>
      </c>
      <c r="AC30" s="52">
        <f t="shared" si="11"/>
        <v>0</v>
      </c>
      <c r="AD30" s="54">
        <f t="shared" ref="AD30:AD76" si="49">+AD29</f>
        <v>0.15</v>
      </c>
      <c r="AE30" s="52">
        <f t="shared" si="12"/>
        <v>7350</v>
      </c>
      <c r="AF30" s="52">
        <f t="shared" si="33"/>
        <v>0</v>
      </c>
      <c r="AG30" s="52">
        <f t="shared" si="34"/>
        <v>0</v>
      </c>
      <c r="AH30" s="52">
        <f t="shared" si="13"/>
        <v>0</v>
      </c>
      <c r="AI30" s="53">
        <f t="shared" si="35"/>
        <v>0</v>
      </c>
      <c r="AK30" s="58">
        <f t="shared" si="36"/>
        <v>3</v>
      </c>
      <c r="AL30" s="52">
        <f t="shared" si="36"/>
        <v>25</v>
      </c>
      <c r="AM30" s="52">
        <f t="shared" si="14"/>
        <v>1</v>
      </c>
      <c r="AN30" s="54">
        <f t="shared" si="15"/>
        <v>0.13500000000000001</v>
      </c>
      <c r="AO30" s="54">
        <f t="shared" si="16"/>
        <v>0.18</v>
      </c>
      <c r="AP30" s="207">
        <f t="shared" si="37"/>
        <v>7350</v>
      </c>
      <c r="AQ30" s="52">
        <f t="shared" si="38"/>
        <v>2249.1</v>
      </c>
      <c r="AR30" s="52">
        <f t="shared" si="39"/>
        <v>1102.5</v>
      </c>
      <c r="AS30" s="48">
        <f t="shared" si="40"/>
        <v>89.963999999999999</v>
      </c>
      <c r="AT30" s="53">
        <f t="shared" si="41"/>
        <v>3441.5639999999999</v>
      </c>
      <c r="AV30" s="58">
        <f t="shared" si="17"/>
        <v>3</v>
      </c>
      <c r="AW30" s="52">
        <f t="shared" si="17"/>
        <v>25</v>
      </c>
      <c r="AX30" s="48">
        <v>1</v>
      </c>
      <c r="AY30" s="54">
        <f t="shared" si="18"/>
        <v>0.13500000000000001</v>
      </c>
      <c r="AZ30" s="54">
        <f t="shared" si="19"/>
        <v>0.18</v>
      </c>
      <c r="BA30" s="207">
        <f t="shared" si="42"/>
        <v>7350</v>
      </c>
      <c r="BB30" s="52">
        <f t="shared" si="43"/>
        <v>2249.1</v>
      </c>
      <c r="BC30" s="48">
        <f t="shared" si="44"/>
        <v>1102.5</v>
      </c>
      <c r="BD30" s="48">
        <f t="shared" si="45"/>
        <v>89.963999999999999</v>
      </c>
      <c r="BE30" s="53">
        <f t="shared" si="46"/>
        <v>3441.5639999999999</v>
      </c>
    </row>
    <row r="31" spans="2:65" ht="15.75" thickTop="1" thickBot="1">
      <c r="B31" s="58">
        <f t="shared" si="20"/>
        <v>4</v>
      </c>
      <c r="C31" s="52">
        <f t="shared" si="20"/>
        <v>25</v>
      </c>
      <c r="D31" s="185">
        <f t="shared" si="47"/>
        <v>1</v>
      </c>
      <c r="E31" s="48">
        <f t="shared" si="21"/>
        <v>700</v>
      </c>
      <c r="F31" s="205">
        <f t="shared" si="22"/>
        <v>10.5</v>
      </c>
      <c r="G31" s="192">
        <f t="shared" si="23"/>
        <v>7350</v>
      </c>
      <c r="I31" s="58">
        <f t="shared" si="24"/>
        <v>4</v>
      </c>
      <c r="J31" s="74">
        <f t="shared" si="25"/>
        <v>25</v>
      </c>
      <c r="K31" s="74">
        <f t="shared" si="3"/>
        <v>10.5</v>
      </c>
      <c r="L31" s="52">
        <f t="shared" si="26"/>
        <v>5250</v>
      </c>
      <c r="M31" s="74">
        <f t="shared" si="4"/>
        <v>2100</v>
      </c>
      <c r="N31" s="74">
        <f t="shared" si="27"/>
        <v>7350</v>
      </c>
      <c r="O31" s="180">
        <f t="shared" si="28"/>
        <v>700</v>
      </c>
      <c r="Q31" s="58">
        <f t="shared" si="5"/>
        <v>4</v>
      </c>
      <c r="R31" s="52">
        <f t="shared" si="6"/>
        <v>26</v>
      </c>
      <c r="S31" s="52">
        <f t="shared" si="7"/>
        <v>1</v>
      </c>
      <c r="T31" s="54">
        <f t="shared" si="48"/>
        <v>0.1</v>
      </c>
      <c r="U31" s="52">
        <f t="shared" si="8"/>
        <v>2100</v>
      </c>
      <c r="V31" s="52">
        <f t="shared" si="29"/>
        <v>655.53599999999994</v>
      </c>
      <c r="W31" s="52">
        <f t="shared" si="30"/>
        <v>210</v>
      </c>
      <c r="X31" s="87">
        <f t="shared" si="31"/>
        <v>26.221439999999998</v>
      </c>
      <c r="Y31" s="53">
        <f t="shared" si="32"/>
        <v>891.75743999999997</v>
      </c>
      <c r="AA31" s="58">
        <f t="shared" si="9"/>
        <v>4</v>
      </c>
      <c r="AB31" s="52">
        <f t="shared" si="10"/>
        <v>26</v>
      </c>
      <c r="AC31" s="52">
        <f t="shared" si="11"/>
        <v>0</v>
      </c>
      <c r="AD31" s="54">
        <f t="shared" si="49"/>
        <v>0.15</v>
      </c>
      <c r="AE31" s="52">
        <f t="shared" si="12"/>
        <v>7350</v>
      </c>
      <c r="AF31" s="52">
        <f t="shared" si="33"/>
        <v>0</v>
      </c>
      <c r="AG31" s="52">
        <f t="shared" si="34"/>
        <v>0</v>
      </c>
      <c r="AH31" s="52">
        <f t="shared" si="13"/>
        <v>0</v>
      </c>
      <c r="AI31" s="53">
        <f t="shared" si="35"/>
        <v>0</v>
      </c>
      <c r="AK31" s="58">
        <f t="shared" si="36"/>
        <v>4</v>
      </c>
      <c r="AL31" s="52">
        <f t="shared" si="36"/>
        <v>26</v>
      </c>
      <c r="AM31" s="52">
        <f t="shared" si="14"/>
        <v>1</v>
      </c>
      <c r="AN31" s="54">
        <f t="shared" si="15"/>
        <v>0.13500000000000001</v>
      </c>
      <c r="AO31" s="54">
        <f t="shared" si="16"/>
        <v>0.18</v>
      </c>
      <c r="AP31" s="207">
        <f t="shared" si="37"/>
        <v>7350</v>
      </c>
      <c r="AQ31" s="52">
        <f t="shared" si="38"/>
        <v>3441.5639999999999</v>
      </c>
      <c r="AR31" s="52">
        <f t="shared" si="39"/>
        <v>1102.5</v>
      </c>
      <c r="AS31" s="48">
        <f t="shared" si="40"/>
        <v>137.66255999999998</v>
      </c>
      <c r="AT31" s="53">
        <f t="shared" si="41"/>
        <v>4681.7265600000001</v>
      </c>
      <c r="AV31" s="58">
        <f t="shared" si="17"/>
        <v>4</v>
      </c>
      <c r="AW31" s="52">
        <f t="shared" si="17"/>
        <v>26</v>
      </c>
      <c r="AX31" s="48">
        <v>1</v>
      </c>
      <c r="AY31" s="54">
        <f t="shared" si="18"/>
        <v>0.13500000000000001</v>
      </c>
      <c r="AZ31" s="54">
        <f t="shared" si="19"/>
        <v>0.18</v>
      </c>
      <c r="BA31" s="207">
        <f t="shared" si="42"/>
        <v>7350</v>
      </c>
      <c r="BB31" s="52">
        <f t="shared" si="43"/>
        <v>3441.5639999999999</v>
      </c>
      <c r="BC31" s="48">
        <f t="shared" si="44"/>
        <v>1102.5</v>
      </c>
      <c r="BD31" s="48">
        <f t="shared" si="45"/>
        <v>137.66255999999998</v>
      </c>
      <c r="BE31" s="53">
        <f t="shared" si="46"/>
        <v>4681.7265600000001</v>
      </c>
    </row>
    <row r="32" spans="2:65" ht="15.75" thickTop="1" thickBot="1">
      <c r="B32" s="58">
        <f t="shared" si="20"/>
        <v>5</v>
      </c>
      <c r="C32" s="52">
        <f t="shared" si="20"/>
        <v>26</v>
      </c>
      <c r="D32" s="185">
        <f t="shared" si="47"/>
        <v>1</v>
      </c>
      <c r="E32" s="48">
        <f t="shared" si="21"/>
        <v>700</v>
      </c>
      <c r="F32" s="205">
        <f t="shared" si="22"/>
        <v>10.5</v>
      </c>
      <c r="G32" s="192">
        <f t="shared" si="23"/>
        <v>7350</v>
      </c>
      <c r="I32" s="58">
        <f t="shared" si="24"/>
        <v>5</v>
      </c>
      <c r="J32" s="74">
        <f t="shared" si="25"/>
        <v>26</v>
      </c>
      <c r="K32" s="74">
        <f t="shared" si="3"/>
        <v>10.5</v>
      </c>
      <c r="L32" s="52">
        <f t="shared" si="26"/>
        <v>5250</v>
      </c>
      <c r="M32" s="74">
        <f t="shared" si="4"/>
        <v>2100</v>
      </c>
      <c r="N32" s="74">
        <f t="shared" si="27"/>
        <v>7350</v>
      </c>
      <c r="O32" s="180">
        <f t="shared" si="28"/>
        <v>700</v>
      </c>
      <c r="Q32" s="58">
        <f t="shared" si="5"/>
        <v>5</v>
      </c>
      <c r="R32" s="52">
        <f t="shared" si="6"/>
        <v>27</v>
      </c>
      <c r="S32" s="52">
        <f t="shared" si="7"/>
        <v>1</v>
      </c>
      <c r="T32" s="54">
        <f t="shared" si="48"/>
        <v>0.1</v>
      </c>
      <c r="U32" s="52">
        <f t="shared" si="8"/>
        <v>2100</v>
      </c>
      <c r="V32" s="52">
        <f t="shared" si="29"/>
        <v>891.75743999999997</v>
      </c>
      <c r="W32" s="52">
        <f t="shared" si="30"/>
        <v>210</v>
      </c>
      <c r="X32" s="87">
        <f t="shared" si="31"/>
        <v>35.670297599999998</v>
      </c>
      <c r="Y32" s="53">
        <f t="shared" si="32"/>
        <v>1137.4277375999998</v>
      </c>
      <c r="AA32" s="58">
        <f t="shared" si="9"/>
        <v>5</v>
      </c>
      <c r="AB32" s="52">
        <f t="shared" si="10"/>
        <v>27</v>
      </c>
      <c r="AC32" s="52">
        <f t="shared" si="11"/>
        <v>0</v>
      </c>
      <c r="AD32" s="54">
        <f t="shared" si="49"/>
        <v>0.15</v>
      </c>
      <c r="AE32" s="52">
        <f t="shared" si="12"/>
        <v>7350</v>
      </c>
      <c r="AF32" s="52">
        <f t="shared" si="33"/>
        <v>0</v>
      </c>
      <c r="AG32" s="52">
        <f t="shared" si="34"/>
        <v>0</v>
      </c>
      <c r="AH32" s="52">
        <f t="shared" si="13"/>
        <v>0</v>
      </c>
      <c r="AI32" s="53">
        <f t="shared" si="35"/>
        <v>0</v>
      </c>
      <c r="AK32" s="58">
        <f t="shared" si="36"/>
        <v>5</v>
      </c>
      <c r="AL32" s="52">
        <f t="shared" si="36"/>
        <v>27</v>
      </c>
      <c r="AM32" s="52">
        <f t="shared" si="14"/>
        <v>1</v>
      </c>
      <c r="AN32" s="54">
        <f t="shared" si="15"/>
        <v>0.13500000000000001</v>
      </c>
      <c r="AO32" s="54">
        <f t="shared" si="16"/>
        <v>0.18</v>
      </c>
      <c r="AP32" s="207">
        <f t="shared" si="37"/>
        <v>7350</v>
      </c>
      <c r="AQ32" s="52">
        <f t="shared" si="38"/>
        <v>4681.7265600000001</v>
      </c>
      <c r="AR32" s="52">
        <f t="shared" si="39"/>
        <v>1102.5</v>
      </c>
      <c r="AS32" s="48">
        <f t="shared" si="40"/>
        <v>187.2690624</v>
      </c>
      <c r="AT32" s="53">
        <f t="shared" si="41"/>
        <v>5971.4956223999998</v>
      </c>
      <c r="AV32" s="58">
        <f t="shared" si="17"/>
        <v>5</v>
      </c>
      <c r="AW32" s="52">
        <f t="shared" si="17"/>
        <v>27</v>
      </c>
      <c r="AX32" s="48">
        <v>1</v>
      </c>
      <c r="AY32" s="54">
        <f t="shared" si="18"/>
        <v>0.13500000000000001</v>
      </c>
      <c r="AZ32" s="54">
        <f t="shared" si="19"/>
        <v>0.18</v>
      </c>
      <c r="BA32" s="207">
        <f t="shared" si="42"/>
        <v>7350</v>
      </c>
      <c r="BB32" s="52">
        <f t="shared" si="43"/>
        <v>4681.7265600000001</v>
      </c>
      <c r="BC32" s="48">
        <f t="shared" si="44"/>
        <v>1102.5</v>
      </c>
      <c r="BD32" s="48">
        <f t="shared" si="45"/>
        <v>187.2690624</v>
      </c>
      <c r="BE32" s="53">
        <f t="shared" si="46"/>
        <v>5971.4956223999998</v>
      </c>
    </row>
    <row r="33" spans="2:57" ht="15.75" thickTop="1" thickBot="1">
      <c r="B33" s="58">
        <f t="shared" si="20"/>
        <v>6</v>
      </c>
      <c r="C33" s="52">
        <f t="shared" si="20"/>
        <v>27</v>
      </c>
      <c r="D33" s="185">
        <f t="shared" si="47"/>
        <v>1</v>
      </c>
      <c r="E33" s="48">
        <f t="shared" si="21"/>
        <v>700</v>
      </c>
      <c r="F33" s="205">
        <f t="shared" si="22"/>
        <v>10.5</v>
      </c>
      <c r="G33" s="192">
        <f t="shared" si="23"/>
        <v>7350</v>
      </c>
      <c r="I33" s="58">
        <f t="shared" si="24"/>
        <v>6</v>
      </c>
      <c r="J33" s="74">
        <f t="shared" si="25"/>
        <v>27</v>
      </c>
      <c r="K33" s="74">
        <f t="shared" si="3"/>
        <v>10.5</v>
      </c>
      <c r="L33" s="52">
        <f t="shared" si="26"/>
        <v>5250</v>
      </c>
      <c r="M33" s="74">
        <f t="shared" si="4"/>
        <v>2100</v>
      </c>
      <c r="N33" s="74">
        <f t="shared" si="27"/>
        <v>7350</v>
      </c>
      <c r="O33" s="180">
        <f t="shared" si="28"/>
        <v>700</v>
      </c>
      <c r="Q33" s="58">
        <f t="shared" si="5"/>
        <v>6</v>
      </c>
      <c r="R33" s="52">
        <f t="shared" si="6"/>
        <v>28</v>
      </c>
      <c r="S33" s="52">
        <f t="shared" si="7"/>
        <v>1</v>
      </c>
      <c r="T33" s="54">
        <f t="shared" si="48"/>
        <v>0.1</v>
      </c>
      <c r="U33" s="52">
        <f t="shared" si="8"/>
        <v>2100</v>
      </c>
      <c r="V33" s="52">
        <f t="shared" si="29"/>
        <v>1137.4277375999998</v>
      </c>
      <c r="W33" s="52">
        <f t="shared" si="30"/>
        <v>210</v>
      </c>
      <c r="X33" s="87">
        <f t="shared" si="31"/>
        <v>45.497109503999994</v>
      </c>
      <c r="Y33" s="53">
        <f t="shared" si="32"/>
        <v>1392.9248471039998</v>
      </c>
      <c r="AA33" s="58">
        <f t="shared" si="9"/>
        <v>6</v>
      </c>
      <c r="AB33" s="52">
        <f t="shared" si="10"/>
        <v>28</v>
      </c>
      <c r="AC33" s="52">
        <f t="shared" si="11"/>
        <v>0</v>
      </c>
      <c r="AD33" s="54">
        <f t="shared" si="49"/>
        <v>0.15</v>
      </c>
      <c r="AE33" s="52">
        <f t="shared" si="12"/>
        <v>7350</v>
      </c>
      <c r="AF33" s="52">
        <f t="shared" si="33"/>
        <v>0</v>
      </c>
      <c r="AG33" s="52">
        <f t="shared" si="34"/>
        <v>0</v>
      </c>
      <c r="AH33" s="52">
        <f t="shared" si="13"/>
        <v>0</v>
      </c>
      <c r="AI33" s="53">
        <f t="shared" si="35"/>
        <v>0</v>
      </c>
      <c r="AK33" s="58">
        <f t="shared" si="36"/>
        <v>6</v>
      </c>
      <c r="AL33" s="52">
        <f t="shared" si="36"/>
        <v>28</v>
      </c>
      <c r="AM33" s="52">
        <f t="shared" si="14"/>
        <v>1</v>
      </c>
      <c r="AN33" s="54">
        <f t="shared" si="15"/>
        <v>0.13500000000000001</v>
      </c>
      <c r="AO33" s="54">
        <f t="shared" si="16"/>
        <v>0.18</v>
      </c>
      <c r="AP33" s="207">
        <f t="shared" si="37"/>
        <v>7350</v>
      </c>
      <c r="AQ33" s="52">
        <f t="shared" si="38"/>
        <v>5971.4956223999998</v>
      </c>
      <c r="AR33" s="52">
        <f t="shared" si="39"/>
        <v>1102.5</v>
      </c>
      <c r="AS33" s="48">
        <f t="shared" si="40"/>
        <v>238.85982489599999</v>
      </c>
      <c r="AT33" s="53">
        <f t="shared" si="41"/>
        <v>7312.8554472959995</v>
      </c>
      <c r="AV33" s="58">
        <f t="shared" si="17"/>
        <v>6</v>
      </c>
      <c r="AW33" s="52">
        <f t="shared" si="17"/>
        <v>28</v>
      </c>
      <c r="AX33" s="48">
        <v>1</v>
      </c>
      <c r="AY33" s="54">
        <f t="shared" si="18"/>
        <v>0.13500000000000001</v>
      </c>
      <c r="AZ33" s="54">
        <f t="shared" si="19"/>
        <v>0.18</v>
      </c>
      <c r="BA33" s="207">
        <f t="shared" si="42"/>
        <v>7350</v>
      </c>
      <c r="BB33" s="52">
        <f t="shared" si="43"/>
        <v>5971.4956223999998</v>
      </c>
      <c r="BC33" s="48">
        <f t="shared" si="44"/>
        <v>1102.5</v>
      </c>
      <c r="BD33" s="48">
        <f t="shared" si="45"/>
        <v>238.85982489599999</v>
      </c>
      <c r="BE33" s="53">
        <f t="shared" si="46"/>
        <v>7312.8554472959995</v>
      </c>
    </row>
    <row r="34" spans="2:57" ht="15.75" thickTop="1" thickBot="1">
      <c r="B34" s="58">
        <f t="shared" si="20"/>
        <v>7</v>
      </c>
      <c r="C34" s="52">
        <f t="shared" si="20"/>
        <v>28</v>
      </c>
      <c r="D34" s="185">
        <f t="shared" si="47"/>
        <v>1</v>
      </c>
      <c r="E34" s="48">
        <f t="shared" si="21"/>
        <v>700</v>
      </c>
      <c r="F34" s="205">
        <f t="shared" si="22"/>
        <v>10.5</v>
      </c>
      <c r="G34" s="192">
        <f t="shared" si="23"/>
        <v>7350</v>
      </c>
      <c r="I34" s="58">
        <f t="shared" si="24"/>
        <v>7</v>
      </c>
      <c r="J34" s="74">
        <f t="shared" si="25"/>
        <v>28</v>
      </c>
      <c r="K34" s="74">
        <f t="shared" si="3"/>
        <v>10.5</v>
      </c>
      <c r="L34" s="52">
        <f t="shared" si="26"/>
        <v>5250</v>
      </c>
      <c r="M34" s="74">
        <f t="shared" si="4"/>
        <v>2100</v>
      </c>
      <c r="N34" s="74">
        <f t="shared" si="27"/>
        <v>7350</v>
      </c>
      <c r="O34" s="180">
        <f t="shared" si="28"/>
        <v>700</v>
      </c>
      <c r="Q34" s="58">
        <f t="shared" si="5"/>
        <v>7</v>
      </c>
      <c r="R34" s="52">
        <f t="shared" si="6"/>
        <v>29</v>
      </c>
      <c r="S34" s="52">
        <f t="shared" si="7"/>
        <v>1</v>
      </c>
      <c r="T34" s="54">
        <f t="shared" si="48"/>
        <v>0.1</v>
      </c>
      <c r="U34" s="52">
        <f t="shared" si="8"/>
        <v>2100</v>
      </c>
      <c r="V34" s="52">
        <f t="shared" si="29"/>
        <v>1392.9248471039998</v>
      </c>
      <c r="W34" s="52">
        <f t="shared" si="30"/>
        <v>210</v>
      </c>
      <c r="X34" s="87">
        <f t="shared" si="31"/>
        <v>55.71699388415999</v>
      </c>
      <c r="Y34" s="53">
        <f t="shared" si="32"/>
        <v>1658.6418409881599</v>
      </c>
      <c r="AA34" s="58">
        <f t="shared" si="9"/>
        <v>7</v>
      </c>
      <c r="AB34" s="52">
        <f t="shared" si="10"/>
        <v>29</v>
      </c>
      <c r="AC34" s="52">
        <f t="shared" si="11"/>
        <v>0</v>
      </c>
      <c r="AD34" s="54">
        <f t="shared" si="49"/>
        <v>0.15</v>
      </c>
      <c r="AE34" s="52">
        <f t="shared" si="12"/>
        <v>7350</v>
      </c>
      <c r="AF34" s="52">
        <f t="shared" si="33"/>
        <v>0</v>
      </c>
      <c r="AG34" s="52">
        <f t="shared" si="34"/>
        <v>0</v>
      </c>
      <c r="AH34" s="52">
        <f t="shared" si="13"/>
        <v>0</v>
      </c>
      <c r="AI34" s="53">
        <f t="shared" si="35"/>
        <v>0</v>
      </c>
      <c r="AK34" s="58">
        <f t="shared" si="36"/>
        <v>7</v>
      </c>
      <c r="AL34" s="52">
        <f t="shared" si="36"/>
        <v>29</v>
      </c>
      <c r="AM34" s="52">
        <f t="shared" si="14"/>
        <v>1</v>
      </c>
      <c r="AN34" s="54">
        <f t="shared" si="15"/>
        <v>0.13500000000000001</v>
      </c>
      <c r="AO34" s="54">
        <f t="shared" si="16"/>
        <v>0.18</v>
      </c>
      <c r="AP34" s="207">
        <f t="shared" si="37"/>
        <v>7350</v>
      </c>
      <c r="AQ34" s="52">
        <f t="shared" si="38"/>
        <v>7312.8554472959995</v>
      </c>
      <c r="AR34" s="52">
        <f t="shared" si="39"/>
        <v>1102.5</v>
      </c>
      <c r="AS34" s="48">
        <f t="shared" si="40"/>
        <v>292.51421789183996</v>
      </c>
      <c r="AT34" s="53">
        <f t="shared" si="41"/>
        <v>8707.8696651878381</v>
      </c>
      <c r="AV34" s="58">
        <f t="shared" si="17"/>
        <v>7</v>
      </c>
      <c r="AW34" s="52">
        <f t="shared" si="17"/>
        <v>29</v>
      </c>
      <c r="AX34" s="48">
        <v>1</v>
      </c>
      <c r="AY34" s="54">
        <f t="shared" si="18"/>
        <v>0.13500000000000001</v>
      </c>
      <c r="AZ34" s="54">
        <f t="shared" si="19"/>
        <v>0.18</v>
      </c>
      <c r="BA34" s="207">
        <f t="shared" si="42"/>
        <v>7350</v>
      </c>
      <c r="BB34" s="52">
        <f t="shared" si="43"/>
        <v>7312.8554472959995</v>
      </c>
      <c r="BC34" s="48">
        <f t="shared" si="44"/>
        <v>1102.5</v>
      </c>
      <c r="BD34" s="48">
        <f t="shared" si="45"/>
        <v>292.51421789183996</v>
      </c>
      <c r="BE34" s="53">
        <f t="shared" si="46"/>
        <v>8707.8696651878381</v>
      </c>
    </row>
    <row r="35" spans="2:57" ht="15.75" thickTop="1" thickBot="1">
      <c r="B35" s="58">
        <f t="shared" si="20"/>
        <v>8</v>
      </c>
      <c r="C35" s="52">
        <f t="shared" si="20"/>
        <v>29</v>
      </c>
      <c r="D35" s="185">
        <f t="shared" si="47"/>
        <v>1</v>
      </c>
      <c r="E35" s="48">
        <f t="shared" si="21"/>
        <v>700</v>
      </c>
      <c r="F35" s="205">
        <f t="shared" si="22"/>
        <v>10.5</v>
      </c>
      <c r="G35" s="192">
        <f t="shared" si="23"/>
        <v>7350</v>
      </c>
      <c r="I35" s="58">
        <f t="shared" si="24"/>
        <v>8</v>
      </c>
      <c r="J35" s="74">
        <f t="shared" si="25"/>
        <v>29</v>
      </c>
      <c r="K35" s="74">
        <f t="shared" si="3"/>
        <v>10.5</v>
      </c>
      <c r="L35" s="52">
        <f t="shared" si="26"/>
        <v>5250</v>
      </c>
      <c r="M35" s="74">
        <f t="shared" si="4"/>
        <v>2100</v>
      </c>
      <c r="N35" s="74">
        <f t="shared" si="27"/>
        <v>7350</v>
      </c>
      <c r="O35" s="180">
        <f t="shared" si="28"/>
        <v>700</v>
      </c>
      <c r="Q35" s="58">
        <f t="shared" si="5"/>
        <v>8</v>
      </c>
      <c r="R35" s="52">
        <f t="shared" si="6"/>
        <v>30</v>
      </c>
      <c r="S35" s="52">
        <f t="shared" si="7"/>
        <v>1</v>
      </c>
      <c r="T35" s="54">
        <f t="shared" si="48"/>
        <v>0.1</v>
      </c>
      <c r="U35" s="52">
        <f t="shared" si="8"/>
        <v>2100</v>
      </c>
      <c r="V35" s="52">
        <f t="shared" si="29"/>
        <v>1658.6418409881599</v>
      </c>
      <c r="W35" s="52">
        <f t="shared" si="30"/>
        <v>210</v>
      </c>
      <c r="X35" s="87">
        <f t="shared" si="31"/>
        <v>66.345673639526396</v>
      </c>
      <c r="Y35" s="53">
        <f t="shared" si="32"/>
        <v>1934.9875146276863</v>
      </c>
      <c r="AA35" s="58">
        <f t="shared" si="9"/>
        <v>8</v>
      </c>
      <c r="AB35" s="52">
        <f t="shared" si="10"/>
        <v>30</v>
      </c>
      <c r="AC35" s="52">
        <f t="shared" si="11"/>
        <v>0</v>
      </c>
      <c r="AD35" s="54">
        <f t="shared" si="49"/>
        <v>0.15</v>
      </c>
      <c r="AE35" s="52">
        <f t="shared" si="12"/>
        <v>7350</v>
      </c>
      <c r="AF35" s="52">
        <f t="shared" si="33"/>
        <v>0</v>
      </c>
      <c r="AG35" s="52">
        <f t="shared" si="34"/>
        <v>0</v>
      </c>
      <c r="AH35" s="52">
        <f t="shared" si="13"/>
        <v>0</v>
      </c>
      <c r="AI35" s="53">
        <f t="shared" si="35"/>
        <v>0</v>
      </c>
      <c r="AK35" s="58">
        <f t="shared" si="36"/>
        <v>8</v>
      </c>
      <c r="AL35" s="52">
        <f t="shared" si="36"/>
        <v>30</v>
      </c>
      <c r="AM35" s="52">
        <f t="shared" si="14"/>
        <v>1</v>
      </c>
      <c r="AN35" s="54">
        <f t="shared" si="15"/>
        <v>0.13500000000000001</v>
      </c>
      <c r="AO35" s="54">
        <f t="shared" si="16"/>
        <v>0.18</v>
      </c>
      <c r="AP35" s="207">
        <f t="shared" si="37"/>
        <v>7350</v>
      </c>
      <c r="AQ35" s="52">
        <f t="shared" si="38"/>
        <v>8707.8696651878381</v>
      </c>
      <c r="AR35" s="52">
        <f t="shared" si="39"/>
        <v>1102.5</v>
      </c>
      <c r="AS35" s="48">
        <f t="shared" si="40"/>
        <v>348.31478660751355</v>
      </c>
      <c r="AT35" s="53">
        <f t="shared" si="41"/>
        <v>10158.684451795352</v>
      </c>
      <c r="AV35" s="58">
        <f t="shared" si="17"/>
        <v>8</v>
      </c>
      <c r="AW35" s="52">
        <f t="shared" si="17"/>
        <v>30</v>
      </c>
      <c r="AX35" s="48">
        <v>1</v>
      </c>
      <c r="AY35" s="54">
        <f t="shared" si="18"/>
        <v>0.13500000000000001</v>
      </c>
      <c r="AZ35" s="54">
        <f t="shared" si="19"/>
        <v>0.18</v>
      </c>
      <c r="BA35" s="207">
        <f t="shared" si="42"/>
        <v>7350</v>
      </c>
      <c r="BB35" s="52">
        <f t="shared" si="43"/>
        <v>8707.8696651878381</v>
      </c>
      <c r="BC35" s="48">
        <f t="shared" si="44"/>
        <v>1102.5</v>
      </c>
      <c r="BD35" s="48">
        <f t="shared" si="45"/>
        <v>348.31478660751355</v>
      </c>
      <c r="BE35" s="53">
        <f t="shared" si="46"/>
        <v>10158.684451795352</v>
      </c>
    </row>
    <row r="36" spans="2:57" ht="15.75" thickTop="1" thickBot="1">
      <c r="B36" s="58">
        <f t="shared" si="20"/>
        <v>9</v>
      </c>
      <c r="C36" s="52">
        <f t="shared" si="20"/>
        <v>30</v>
      </c>
      <c r="D36" s="185">
        <f t="shared" si="47"/>
        <v>1</v>
      </c>
      <c r="E36" s="48">
        <f t="shared" si="21"/>
        <v>700</v>
      </c>
      <c r="F36" s="205">
        <f t="shared" si="22"/>
        <v>10.5</v>
      </c>
      <c r="G36" s="192">
        <f t="shared" si="23"/>
        <v>7350</v>
      </c>
      <c r="I36" s="58">
        <f t="shared" si="24"/>
        <v>9</v>
      </c>
      <c r="J36" s="74">
        <f t="shared" si="25"/>
        <v>30</v>
      </c>
      <c r="K36" s="74">
        <f t="shared" si="3"/>
        <v>10.5</v>
      </c>
      <c r="L36" s="52">
        <f t="shared" si="26"/>
        <v>5250</v>
      </c>
      <c r="M36" s="74">
        <f t="shared" si="4"/>
        <v>2100</v>
      </c>
      <c r="N36" s="74">
        <f t="shared" si="27"/>
        <v>7350</v>
      </c>
      <c r="O36" s="180">
        <f t="shared" si="28"/>
        <v>700</v>
      </c>
      <c r="Q36" s="58">
        <f t="shared" si="5"/>
        <v>9</v>
      </c>
      <c r="R36" s="52">
        <f t="shared" si="6"/>
        <v>31</v>
      </c>
      <c r="S36" s="52">
        <f t="shared" si="7"/>
        <v>1</v>
      </c>
      <c r="T36" s="54">
        <f t="shared" si="48"/>
        <v>0.1</v>
      </c>
      <c r="U36" s="52">
        <f t="shared" si="8"/>
        <v>2100</v>
      </c>
      <c r="V36" s="52">
        <f t="shared" si="29"/>
        <v>1934.9875146276863</v>
      </c>
      <c r="W36" s="52">
        <f t="shared" si="30"/>
        <v>210</v>
      </c>
      <c r="X36" s="87">
        <f t="shared" si="31"/>
        <v>77.399500585107461</v>
      </c>
      <c r="Y36" s="53">
        <f t="shared" si="32"/>
        <v>2222.3870152127938</v>
      </c>
      <c r="AA36" s="58">
        <f t="shared" si="9"/>
        <v>9</v>
      </c>
      <c r="AB36" s="52">
        <f t="shared" si="10"/>
        <v>31</v>
      </c>
      <c r="AC36" s="52">
        <f t="shared" si="11"/>
        <v>0</v>
      </c>
      <c r="AD36" s="54">
        <f t="shared" si="49"/>
        <v>0.15</v>
      </c>
      <c r="AE36" s="52">
        <f t="shared" si="12"/>
        <v>7350</v>
      </c>
      <c r="AF36" s="52">
        <f t="shared" si="33"/>
        <v>0</v>
      </c>
      <c r="AG36" s="52">
        <f t="shared" si="34"/>
        <v>0</v>
      </c>
      <c r="AH36" s="52">
        <f t="shared" si="13"/>
        <v>0</v>
      </c>
      <c r="AI36" s="53">
        <f t="shared" si="35"/>
        <v>0</v>
      </c>
      <c r="AK36" s="58">
        <f t="shared" si="36"/>
        <v>9</v>
      </c>
      <c r="AL36" s="52">
        <f t="shared" si="36"/>
        <v>31</v>
      </c>
      <c r="AM36" s="52">
        <f t="shared" si="14"/>
        <v>1</v>
      </c>
      <c r="AN36" s="54">
        <f t="shared" si="15"/>
        <v>0.13500000000000001</v>
      </c>
      <c r="AO36" s="54">
        <f t="shared" si="16"/>
        <v>0.18</v>
      </c>
      <c r="AP36" s="207">
        <f t="shared" si="37"/>
        <v>7350</v>
      </c>
      <c r="AQ36" s="52">
        <f t="shared" si="38"/>
        <v>10158.684451795352</v>
      </c>
      <c r="AR36" s="52">
        <f t="shared" si="39"/>
        <v>1102.5</v>
      </c>
      <c r="AS36" s="48">
        <f t="shared" si="40"/>
        <v>406.34737807181409</v>
      </c>
      <c r="AT36" s="53">
        <f t="shared" si="41"/>
        <v>11667.531829867166</v>
      </c>
      <c r="AV36" s="58">
        <f t="shared" si="17"/>
        <v>9</v>
      </c>
      <c r="AW36" s="52">
        <f t="shared" si="17"/>
        <v>31</v>
      </c>
      <c r="AX36" s="48">
        <v>1</v>
      </c>
      <c r="AY36" s="54">
        <f t="shared" si="18"/>
        <v>0.13500000000000001</v>
      </c>
      <c r="AZ36" s="54">
        <f t="shared" si="19"/>
        <v>0.18</v>
      </c>
      <c r="BA36" s="207">
        <f t="shared" si="42"/>
        <v>7350</v>
      </c>
      <c r="BB36" s="52">
        <f t="shared" si="43"/>
        <v>10158.684451795352</v>
      </c>
      <c r="BC36" s="48">
        <f t="shared" si="44"/>
        <v>1102.5</v>
      </c>
      <c r="BD36" s="48">
        <f t="shared" si="45"/>
        <v>406.34737807181409</v>
      </c>
      <c r="BE36" s="53">
        <f t="shared" si="46"/>
        <v>11667.531829867166</v>
      </c>
    </row>
    <row r="37" spans="2:57" ht="15.75" thickTop="1" thickBot="1">
      <c r="B37" s="58">
        <f t="shared" si="20"/>
        <v>10</v>
      </c>
      <c r="C37" s="52">
        <f t="shared" si="20"/>
        <v>31</v>
      </c>
      <c r="D37" s="185">
        <f t="shared" si="47"/>
        <v>1</v>
      </c>
      <c r="E37" s="48">
        <f t="shared" si="21"/>
        <v>700</v>
      </c>
      <c r="F37" s="205">
        <f t="shared" si="22"/>
        <v>10.5</v>
      </c>
      <c r="G37" s="192">
        <f t="shared" si="23"/>
        <v>7350</v>
      </c>
      <c r="I37" s="58">
        <f t="shared" si="24"/>
        <v>10</v>
      </c>
      <c r="J37" s="74">
        <f t="shared" si="25"/>
        <v>31</v>
      </c>
      <c r="K37" s="74">
        <f t="shared" si="3"/>
        <v>10.5</v>
      </c>
      <c r="L37" s="52">
        <f t="shared" si="26"/>
        <v>5250</v>
      </c>
      <c r="M37" s="74">
        <f t="shared" si="4"/>
        <v>2100</v>
      </c>
      <c r="N37" s="74">
        <f t="shared" si="27"/>
        <v>7350</v>
      </c>
      <c r="O37" s="180">
        <f t="shared" si="28"/>
        <v>700</v>
      </c>
      <c r="Q37" s="58">
        <f t="shared" si="5"/>
        <v>10</v>
      </c>
      <c r="R37" s="52">
        <f t="shared" si="6"/>
        <v>32</v>
      </c>
      <c r="S37" s="52">
        <f t="shared" si="7"/>
        <v>1</v>
      </c>
      <c r="T37" s="54">
        <f t="shared" si="48"/>
        <v>0.1</v>
      </c>
      <c r="U37" s="52">
        <f t="shared" si="8"/>
        <v>2100</v>
      </c>
      <c r="V37" s="52">
        <f t="shared" si="29"/>
        <v>2222.3870152127938</v>
      </c>
      <c r="W37" s="52">
        <f t="shared" si="30"/>
        <v>210</v>
      </c>
      <c r="X37" s="87">
        <f t="shared" si="31"/>
        <v>88.895480608511761</v>
      </c>
      <c r="Y37" s="53">
        <f t="shared" si="32"/>
        <v>2521.2824958213055</v>
      </c>
      <c r="AA37" s="58">
        <f t="shared" si="9"/>
        <v>10</v>
      </c>
      <c r="AB37" s="52">
        <f t="shared" si="10"/>
        <v>32</v>
      </c>
      <c r="AC37" s="52">
        <f t="shared" si="11"/>
        <v>0</v>
      </c>
      <c r="AD37" s="54">
        <f t="shared" si="49"/>
        <v>0.15</v>
      </c>
      <c r="AE37" s="52">
        <f t="shared" si="12"/>
        <v>7350</v>
      </c>
      <c r="AF37" s="52">
        <f t="shared" si="33"/>
        <v>0</v>
      </c>
      <c r="AG37" s="52">
        <f t="shared" si="34"/>
        <v>0</v>
      </c>
      <c r="AH37" s="52">
        <f t="shared" si="13"/>
        <v>0</v>
      </c>
      <c r="AI37" s="53">
        <f t="shared" si="35"/>
        <v>0</v>
      </c>
      <c r="AK37" s="58">
        <f t="shared" si="36"/>
        <v>10</v>
      </c>
      <c r="AL37" s="52">
        <f t="shared" si="36"/>
        <v>32</v>
      </c>
      <c r="AM37" s="52">
        <f t="shared" si="14"/>
        <v>1</v>
      </c>
      <c r="AN37" s="54">
        <f t="shared" si="15"/>
        <v>0.13500000000000001</v>
      </c>
      <c r="AO37" s="54">
        <f t="shared" si="16"/>
        <v>0.18</v>
      </c>
      <c r="AP37" s="207">
        <f t="shared" si="37"/>
        <v>7350</v>
      </c>
      <c r="AQ37" s="52">
        <f t="shared" si="38"/>
        <v>11667.531829867166</v>
      </c>
      <c r="AR37" s="52">
        <f t="shared" si="39"/>
        <v>1102.5</v>
      </c>
      <c r="AS37" s="48">
        <f t="shared" si="40"/>
        <v>466.70127319468668</v>
      </c>
      <c r="AT37" s="53">
        <f t="shared" si="41"/>
        <v>13236.733103061853</v>
      </c>
      <c r="AV37" s="58">
        <f t="shared" si="17"/>
        <v>10</v>
      </c>
      <c r="AW37" s="52">
        <f t="shared" si="17"/>
        <v>32</v>
      </c>
      <c r="AX37" s="48">
        <v>1</v>
      </c>
      <c r="AY37" s="54">
        <f t="shared" si="18"/>
        <v>0.13500000000000001</v>
      </c>
      <c r="AZ37" s="54">
        <f t="shared" si="19"/>
        <v>0.18</v>
      </c>
      <c r="BA37" s="207">
        <f t="shared" si="42"/>
        <v>7350</v>
      </c>
      <c r="BB37" s="52">
        <f t="shared" si="43"/>
        <v>11667.531829867166</v>
      </c>
      <c r="BC37" s="48">
        <f t="shared" si="44"/>
        <v>1102.5</v>
      </c>
      <c r="BD37" s="48">
        <f t="shared" si="45"/>
        <v>466.70127319468668</v>
      </c>
      <c r="BE37" s="53">
        <f t="shared" si="46"/>
        <v>13236.733103061853</v>
      </c>
    </row>
    <row r="38" spans="2:57" ht="15.75" thickTop="1" thickBot="1">
      <c r="B38" s="58">
        <f t="shared" si="20"/>
        <v>11</v>
      </c>
      <c r="C38" s="52">
        <f t="shared" si="20"/>
        <v>32</v>
      </c>
      <c r="D38" s="185">
        <f t="shared" si="47"/>
        <v>1</v>
      </c>
      <c r="E38" s="48">
        <f t="shared" si="21"/>
        <v>700</v>
      </c>
      <c r="F38" s="205">
        <f t="shared" si="22"/>
        <v>10.5</v>
      </c>
      <c r="G38" s="192">
        <f t="shared" si="23"/>
        <v>7350</v>
      </c>
      <c r="I38" s="58">
        <f t="shared" si="24"/>
        <v>11</v>
      </c>
      <c r="J38" s="74">
        <f t="shared" si="25"/>
        <v>32</v>
      </c>
      <c r="K38" s="74">
        <f t="shared" si="3"/>
        <v>10.5</v>
      </c>
      <c r="L38" s="52">
        <f t="shared" si="26"/>
        <v>5250</v>
      </c>
      <c r="M38" s="74">
        <f t="shared" si="4"/>
        <v>2100</v>
      </c>
      <c r="N38" s="74">
        <f t="shared" si="27"/>
        <v>7350</v>
      </c>
      <c r="O38" s="180">
        <f t="shared" si="28"/>
        <v>700</v>
      </c>
      <c r="Q38" s="58">
        <f t="shared" si="5"/>
        <v>11</v>
      </c>
      <c r="R38" s="52">
        <f t="shared" si="6"/>
        <v>33</v>
      </c>
      <c r="S38" s="52">
        <f t="shared" si="7"/>
        <v>1</v>
      </c>
      <c r="T38" s="54">
        <f t="shared" si="48"/>
        <v>0.1</v>
      </c>
      <c r="U38" s="52">
        <f t="shared" si="8"/>
        <v>2100</v>
      </c>
      <c r="V38" s="52">
        <f t="shared" si="29"/>
        <v>2521.2824958213055</v>
      </c>
      <c r="W38" s="52">
        <f t="shared" si="30"/>
        <v>210</v>
      </c>
      <c r="X38" s="87">
        <f t="shared" si="31"/>
        <v>100.85129983285222</v>
      </c>
      <c r="Y38" s="53">
        <f t="shared" si="32"/>
        <v>2832.1337956541579</v>
      </c>
      <c r="AA38" s="58">
        <f t="shared" si="9"/>
        <v>11</v>
      </c>
      <c r="AB38" s="52">
        <f t="shared" si="10"/>
        <v>33</v>
      </c>
      <c r="AC38" s="52">
        <f t="shared" si="11"/>
        <v>0</v>
      </c>
      <c r="AD38" s="54">
        <f t="shared" si="49"/>
        <v>0.15</v>
      </c>
      <c r="AE38" s="52">
        <f t="shared" si="12"/>
        <v>7350</v>
      </c>
      <c r="AF38" s="52">
        <f t="shared" si="33"/>
        <v>0</v>
      </c>
      <c r="AG38" s="52">
        <f t="shared" si="34"/>
        <v>0</v>
      </c>
      <c r="AH38" s="52">
        <f t="shared" si="13"/>
        <v>0</v>
      </c>
      <c r="AI38" s="53">
        <f t="shared" si="35"/>
        <v>0</v>
      </c>
      <c r="AK38" s="58">
        <f t="shared" si="36"/>
        <v>11</v>
      </c>
      <c r="AL38" s="52">
        <f t="shared" si="36"/>
        <v>33</v>
      </c>
      <c r="AM38" s="52">
        <f t="shared" si="14"/>
        <v>1</v>
      </c>
      <c r="AN38" s="54">
        <f t="shared" si="15"/>
        <v>0.13500000000000001</v>
      </c>
      <c r="AO38" s="54">
        <f t="shared" si="16"/>
        <v>0.18</v>
      </c>
      <c r="AP38" s="207">
        <f t="shared" si="37"/>
        <v>7350</v>
      </c>
      <c r="AQ38" s="52">
        <f t="shared" si="38"/>
        <v>13236.733103061853</v>
      </c>
      <c r="AR38" s="52">
        <f t="shared" si="39"/>
        <v>1102.5</v>
      </c>
      <c r="AS38" s="48">
        <f t="shared" si="40"/>
        <v>529.46932412247418</v>
      </c>
      <c r="AT38" s="53">
        <f t="shared" si="41"/>
        <v>14868.702427184327</v>
      </c>
      <c r="AV38" s="58">
        <f t="shared" si="17"/>
        <v>11</v>
      </c>
      <c r="AW38" s="52">
        <f t="shared" si="17"/>
        <v>33</v>
      </c>
      <c r="AX38" s="48">
        <v>1</v>
      </c>
      <c r="AY38" s="54">
        <f t="shared" si="18"/>
        <v>0.13500000000000001</v>
      </c>
      <c r="AZ38" s="54">
        <f t="shared" si="19"/>
        <v>0.18</v>
      </c>
      <c r="BA38" s="207">
        <f t="shared" si="42"/>
        <v>7350</v>
      </c>
      <c r="BB38" s="52">
        <f t="shared" si="43"/>
        <v>13236.733103061853</v>
      </c>
      <c r="BC38" s="48">
        <f t="shared" si="44"/>
        <v>1102.5</v>
      </c>
      <c r="BD38" s="48">
        <f t="shared" si="45"/>
        <v>529.46932412247418</v>
      </c>
      <c r="BE38" s="53">
        <f t="shared" si="46"/>
        <v>14868.702427184327</v>
      </c>
    </row>
    <row r="39" spans="2:57" ht="15.75" thickTop="1" thickBot="1">
      <c r="B39" s="58">
        <f t="shared" si="20"/>
        <v>12</v>
      </c>
      <c r="C39" s="52">
        <f t="shared" si="20"/>
        <v>33</v>
      </c>
      <c r="D39" s="185">
        <f t="shared" si="47"/>
        <v>1</v>
      </c>
      <c r="E39" s="48">
        <f t="shared" si="21"/>
        <v>700</v>
      </c>
      <c r="F39" s="205">
        <f t="shared" si="22"/>
        <v>10.5</v>
      </c>
      <c r="G39" s="192">
        <f t="shared" si="23"/>
        <v>7350</v>
      </c>
      <c r="I39" s="58">
        <f t="shared" si="24"/>
        <v>12</v>
      </c>
      <c r="J39" s="74">
        <f t="shared" si="25"/>
        <v>33</v>
      </c>
      <c r="K39" s="74">
        <f t="shared" si="3"/>
        <v>10.5</v>
      </c>
      <c r="L39" s="52">
        <f t="shared" si="26"/>
        <v>5250</v>
      </c>
      <c r="M39" s="74">
        <f t="shared" si="4"/>
        <v>2100</v>
      </c>
      <c r="N39" s="74">
        <f t="shared" si="27"/>
        <v>7350</v>
      </c>
      <c r="O39" s="180">
        <f t="shared" si="28"/>
        <v>700</v>
      </c>
      <c r="Q39" s="58">
        <f t="shared" si="5"/>
        <v>12</v>
      </c>
      <c r="R39" s="52">
        <f t="shared" si="6"/>
        <v>34</v>
      </c>
      <c r="S39" s="52">
        <f t="shared" si="7"/>
        <v>1</v>
      </c>
      <c r="T39" s="54">
        <f t="shared" si="48"/>
        <v>0.1</v>
      </c>
      <c r="U39" s="52">
        <f t="shared" si="8"/>
        <v>2100</v>
      </c>
      <c r="V39" s="52">
        <f t="shared" si="29"/>
        <v>2832.1337956541579</v>
      </c>
      <c r="W39" s="52">
        <f t="shared" si="30"/>
        <v>210</v>
      </c>
      <c r="X39" s="87">
        <f t="shared" si="31"/>
        <v>113.28535182616632</v>
      </c>
      <c r="Y39" s="53">
        <f t="shared" si="32"/>
        <v>3155.4191474803242</v>
      </c>
      <c r="AA39" s="58">
        <f t="shared" si="9"/>
        <v>12</v>
      </c>
      <c r="AB39" s="52">
        <f t="shared" si="10"/>
        <v>34</v>
      </c>
      <c r="AC39" s="52">
        <f t="shared" si="11"/>
        <v>0</v>
      </c>
      <c r="AD39" s="54">
        <f t="shared" si="49"/>
        <v>0.15</v>
      </c>
      <c r="AE39" s="52">
        <f t="shared" si="12"/>
        <v>7350</v>
      </c>
      <c r="AF39" s="52">
        <f t="shared" si="33"/>
        <v>0</v>
      </c>
      <c r="AG39" s="52">
        <f t="shared" si="34"/>
        <v>0</v>
      </c>
      <c r="AH39" s="52">
        <f t="shared" si="13"/>
        <v>0</v>
      </c>
      <c r="AI39" s="53">
        <f t="shared" si="35"/>
        <v>0</v>
      </c>
      <c r="AK39" s="58">
        <f t="shared" si="36"/>
        <v>12</v>
      </c>
      <c r="AL39" s="52">
        <f t="shared" si="36"/>
        <v>34</v>
      </c>
      <c r="AM39" s="52">
        <f t="shared" si="14"/>
        <v>1</v>
      </c>
      <c r="AN39" s="54">
        <f t="shared" si="15"/>
        <v>0.13500000000000001</v>
      </c>
      <c r="AO39" s="54">
        <f t="shared" si="16"/>
        <v>0.18</v>
      </c>
      <c r="AP39" s="207">
        <f t="shared" si="37"/>
        <v>7350</v>
      </c>
      <c r="AQ39" s="52">
        <f t="shared" si="38"/>
        <v>14868.702427184327</v>
      </c>
      <c r="AR39" s="52">
        <f t="shared" si="39"/>
        <v>1102.5</v>
      </c>
      <c r="AS39" s="48">
        <f t="shared" si="40"/>
        <v>594.74809708737314</v>
      </c>
      <c r="AT39" s="53">
        <f t="shared" si="41"/>
        <v>16565.950524271702</v>
      </c>
      <c r="AV39" s="58">
        <f t="shared" si="17"/>
        <v>12</v>
      </c>
      <c r="AW39" s="52">
        <f t="shared" si="17"/>
        <v>34</v>
      </c>
      <c r="AX39" s="48">
        <v>1</v>
      </c>
      <c r="AY39" s="54">
        <f t="shared" si="18"/>
        <v>0.13500000000000001</v>
      </c>
      <c r="AZ39" s="54">
        <f t="shared" si="19"/>
        <v>0.18</v>
      </c>
      <c r="BA39" s="207">
        <f t="shared" si="42"/>
        <v>7350</v>
      </c>
      <c r="BB39" s="52">
        <f t="shared" si="43"/>
        <v>14868.702427184327</v>
      </c>
      <c r="BC39" s="48">
        <f t="shared" si="44"/>
        <v>1102.5</v>
      </c>
      <c r="BD39" s="48">
        <f t="shared" si="45"/>
        <v>594.74809708737314</v>
      </c>
      <c r="BE39" s="53">
        <f t="shared" si="46"/>
        <v>16565.950524271702</v>
      </c>
    </row>
    <row r="40" spans="2:57" ht="15.75" thickTop="1" thickBot="1">
      <c r="B40" s="58">
        <f t="shared" si="20"/>
        <v>13</v>
      </c>
      <c r="C40" s="52">
        <f t="shared" si="20"/>
        <v>34</v>
      </c>
      <c r="D40" s="185">
        <f t="shared" si="47"/>
        <v>1</v>
      </c>
      <c r="E40" s="48">
        <f t="shared" si="21"/>
        <v>700</v>
      </c>
      <c r="F40" s="205">
        <f t="shared" si="22"/>
        <v>10.5</v>
      </c>
      <c r="G40" s="192">
        <f t="shared" si="23"/>
        <v>7350</v>
      </c>
      <c r="I40" s="58">
        <f t="shared" si="24"/>
        <v>13</v>
      </c>
      <c r="J40" s="74">
        <f t="shared" si="25"/>
        <v>34</v>
      </c>
      <c r="K40" s="74">
        <f t="shared" si="3"/>
        <v>10.5</v>
      </c>
      <c r="L40" s="52">
        <f t="shared" si="26"/>
        <v>5250</v>
      </c>
      <c r="M40" s="74">
        <f t="shared" si="4"/>
        <v>2100</v>
      </c>
      <c r="N40" s="74">
        <f t="shared" si="27"/>
        <v>7350</v>
      </c>
      <c r="O40" s="180">
        <f t="shared" si="28"/>
        <v>700</v>
      </c>
      <c r="Q40" s="58">
        <f t="shared" si="5"/>
        <v>13</v>
      </c>
      <c r="R40" s="52">
        <f t="shared" si="6"/>
        <v>35</v>
      </c>
      <c r="S40" s="52">
        <f t="shared" si="7"/>
        <v>1</v>
      </c>
      <c r="T40" s="54">
        <f t="shared" si="48"/>
        <v>0.1</v>
      </c>
      <c r="U40" s="52">
        <f t="shared" si="8"/>
        <v>2100</v>
      </c>
      <c r="V40" s="52">
        <f t="shared" si="29"/>
        <v>3155.4191474803242</v>
      </c>
      <c r="W40" s="52">
        <f t="shared" si="30"/>
        <v>210</v>
      </c>
      <c r="X40" s="87">
        <f t="shared" si="31"/>
        <v>126.21676589921297</v>
      </c>
      <c r="Y40" s="53">
        <f t="shared" si="32"/>
        <v>3491.6359133795372</v>
      </c>
      <c r="AA40" s="58">
        <f t="shared" si="9"/>
        <v>13</v>
      </c>
      <c r="AB40" s="52">
        <f t="shared" si="10"/>
        <v>35</v>
      </c>
      <c r="AC40" s="52">
        <f t="shared" si="11"/>
        <v>0</v>
      </c>
      <c r="AD40" s="54">
        <f t="shared" si="49"/>
        <v>0.15</v>
      </c>
      <c r="AE40" s="52">
        <f t="shared" si="12"/>
        <v>7350</v>
      </c>
      <c r="AF40" s="52">
        <f t="shared" si="33"/>
        <v>0</v>
      </c>
      <c r="AG40" s="52">
        <f t="shared" si="34"/>
        <v>0</v>
      </c>
      <c r="AH40" s="52">
        <f t="shared" si="13"/>
        <v>0</v>
      </c>
      <c r="AI40" s="53">
        <f t="shared" si="35"/>
        <v>0</v>
      </c>
      <c r="AK40" s="58">
        <f t="shared" si="36"/>
        <v>13</v>
      </c>
      <c r="AL40" s="52">
        <f t="shared" si="36"/>
        <v>35</v>
      </c>
      <c r="AM40" s="52">
        <f t="shared" si="14"/>
        <v>1</v>
      </c>
      <c r="AN40" s="54">
        <f t="shared" si="15"/>
        <v>0.13500000000000001</v>
      </c>
      <c r="AO40" s="54">
        <f t="shared" si="16"/>
        <v>0.18</v>
      </c>
      <c r="AP40" s="207">
        <f t="shared" si="37"/>
        <v>7350</v>
      </c>
      <c r="AQ40" s="52">
        <f t="shared" si="38"/>
        <v>16565.950524271702</v>
      </c>
      <c r="AR40" s="52">
        <f t="shared" si="39"/>
        <v>1102.5</v>
      </c>
      <c r="AS40" s="48">
        <f t="shared" si="40"/>
        <v>662.63802097086807</v>
      </c>
      <c r="AT40" s="53">
        <f t="shared" si="41"/>
        <v>18331.088545242572</v>
      </c>
      <c r="AV40" s="58">
        <f t="shared" si="17"/>
        <v>13</v>
      </c>
      <c r="AW40" s="52">
        <f t="shared" si="17"/>
        <v>35</v>
      </c>
      <c r="AX40" s="48">
        <v>1</v>
      </c>
      <c r="AY40" s="54">
        <f t="shared" si="18"/>
        <v>0.13500000000000001</v>
      </c>
      <c r="AZ40" s="54">
        <f t="shared" si="19"/>
        <v>0.18</v>
      </c>
      <c r="BA40" s="207">
        <f t="shared" si="42"/>
        <v>7350</v>
      </c>
      <c r="BB40" s="52">
        <f t="shared" si="43"/>
        <v>16565.950524271702</v>
      </c>
      <c r="BC40" s="48">
        <f t="shared" si="44"/>
        <v>1102.5</v>
      </c>
      <c r="BD40" s="48">
        <f t="shared" si="45"/>
        <v>662.63802097086807</v>
      </c>
      <c r="BE40" s="53">
        <f t="shared" si="46"/>
        <v>18331.088545242572</v>
      </c>
    </row>
    <row r="41" spans="2:57" ht="15.75" thickTop="1" thickBot="1">
      <c r="B41" s="58">
        <f t="shared" si="20"/>
        <v>14</v>
      </c>
      <c r="C41" s="52">
        <f t="shared" si="20"/>
        <v>35</v>
      </c>
      <c r="D41" s="185">
        <f t="shared" si="47"/>
        <v>1</v>
      </c>
      <c r="E41" s="48">
        <f t="shared" si="21"/>
        <v>700</v>
      </c>
      <c r="F41" s="205">
        <f t="shared" si="22"/>
        <v>10.5</v>
      </c>
      <c r="G41" s="192">
        <f t="shared" si="23"/>
        <v>7350</v>
      </c>
      <c r="I41" s="58">
        <f t="shared" si="24"/>
        <v>14</v>
      </c>
      <c r="J41" s="74">
        <f t="shared" si="25"/>
        <v>35</v>
      </c>
      <c r="K41" s="74">
        <f t="shared" si="3"/>
        <v>10.5</v>
      </c>
      <c r="L41" s="52">
        <f t="shared" si="26"/>
        <v>5250</v>
      </c>
      <c r="M41" s="74">
        <f t="shared" si="4"/>
        <v>2100</v>
      </c>
      <c r="N41" s="74">
        <f t="shared" si="27"/>
        <v>7350</v>
      </c>
      <c r="O41" s="180">
        <f t="shared" si="28"/>
        <v>700</v>
      </c>
      <c r="Q41" s="58">
        <f t="shared" si="5"/>
        <v>14</v>
      </c>
      <c r="R41" s="52">
        <f t="shared" si="6"/>
        <v>36</v>
      </c>
      <c r="S41" s="52">
        <f t="shared" si="7"/>
        <v>1</v>
      </c>
      <c r="T41" s="54">
        <f t="shared" si="48"/>
        <v>0.1</v>
      </c>
      <c r="U41" s="52">
        <f t="shared" si="8"/>
        <v>2100</v>
      </c>
      <c r="V41" s="52">
        <f t="shared" si="29"/>
        <v>3491.6359133795372</v>
      </c>
      <c r="W41" s="52">
        <f t="shared" si="30"/>
        <v>210</v>
      </c>
      <c r="X41" s="87">
        <f t="shared" si="31"/>
        <v>139.6654365351815</v>
      </c>
      <c r="Y41" s="53">
        <f t="shared" si="32"/>
        <v>3841.3013499147187</v>
      </c>
      <c r="AA41" s="58">
        <f t="shared" si="9"/>
        <v>14</v>
      </c>
      <c r="AB41" s="52">
        <f t="shared" si="10"/>
        <v>36</v>
      </c>
      <c r="AC41" s="52">
        <f t="shared" si="11"/>
        <v>0</v>
      </c>
      <c r="AD41" s="54">
        <f t="shared" si="49"/>
        <v>0.15</v>
      </c>
      <c r="AE41" s="52">
        <f t="shared" si="12"/>
        <v>7350</v>
      </c>
      <c r="AF41" s="52">
        <f t="shared" si="33"/>
        <v>0</v>
      </c>
      <c r="AG41" s="52">
        <f t="shared" si="34"/>
        <v>0</v>
      </c>
      <c r="AH41" s="52">
        <f t="shared" si="13"/>
        <v>0</v>
      </c>
      <c r="AI41" s="53">
        <f t="shared" si="35"/>
        <v>0</v>
      </c>
      <c r="AK41" s="58">
        <f t="shared" si="36"/>
        <v>14</v>
      </c>
      <c r="AL41" s="52">
        <f t="shared" si="36"/>
        <v>36</v>
      </c>
      <c r="AM41" s="52">
        <f t="shared" si="14"/>
        <v>1</v>
      </c>
      <c r="AN41" s="54">
        <f t="shared" si="15"/>
        <v>0.13500000000000001</v>
      </c>
      <c r="AO41" s="54">
        <f t="shared" si="16"/>
        <v>0.18</v>
      </c>
      <c r="AP41" s="207">
        <f t="shared" si="37"/>
        <v>7350</v>
      </c>
      <c r="AQ41" s="52">
        <f t="shared" si="38"/>
        <v>18331.088545242572</v>
      </c>
      <c r="AR41" s="52">
        <f t="shared" si="39"/>
        <v>1102.5</v>
      </c>
      <c r="AS41" s="48">
        <f t="shared" si="40"/>
        <v>733.24354180970283</v>
      </c>
      <c r="AT41" s="53">
        <f t="shared" si="41"/>
        <v>20166.832087052273</v>
      </c>
      <c r="AV41" s="58">
        <f t="shared" si="17"/>
        <v>14</v>
      </c>
      <c r="AW41" s="52">
        <f t="shared" si="17"/>
        <v>36</v>
      </c>
      <c r="AX41" s="48">
        <v>1</v>
      </c>
      <c r="AY41" s="54">
        <f t="shared" si="18"/>
        <v>0.13500000000000001</v>
      </c>
      <c r="AZ41" s="54">
        <f t="shared" si="19"/>
        <v>0.18</v>
      </c>
      <c r="BA41" s="207">
        <f t="shared" si="42"/>
        <v>7350</v>
      </c>
      <c r="BB41" s="52">
        <f t="shared" si="43"/>
        <v>18331.088545242572</v>
      </c>
      <c r="BC41" s="48">
        <f t="shared" si="44"/>
        <v>1102.5</v>
      </c>
      <c r="BD41" s="48">
        <f t="shared" si="45"/>
        <v>733.24354180970283</v>
      </c>
      <c r="BE41" s="53">
        <f t="shared" si="46"/>
        <v>20166.832087052273</v>
      </c>
    </row>
    <row r="42" spans="2:57" ht="15.75" thickTop="1" thickBot="1">
      <c r="B42" s="58">
        <f t="shared" si="20"/>
        <v>15</v>
      </c>
      <c r="C42" s="52">
        <f t="shared" si="20"/>
        <v>36</v>
      </c>
      <c r="D42" s="185">
        <f t="shared" si="47"/>
        <v>1</v>
      </c>
      <c r="E42" s="48">
        <f t="shared" si="21"/>
        <v>700</v>
      </c>
      <c r="F42" s="205">
        <f t="shared" si="22"/>
        <v>10.5</v>
      </c>
      <c r="G42" s="192">
        <f t="shared" si="23"/>
        <v>7350</v>
      </c>
      <c r="I42" s="58">
        <f t="shared" si="24"/>
        <v>15</v>
      </c>
      <c r="J42" s="74">
        <f t="shared" si="25"/>
        <v>36</v>
      </c>
      <c r="K42" s="74">
        <f t="shared" si="3"/>
        <v>10.5</v>
      </c>
      <c r="L42" s="52">
        <f t="shared" si="26"/>
        <v>5250</v>
      </c>
      <c r="M42" s="74">
        <f t="shared" si="4"/>
        <v>2100</v>
      </c>
      <c r="N42" s="74">
        <f t="shared" si="27"/>
        <v>7350</v>
      </c>
      <c r="O42" s="180">
        <f t="shared" si="28"/>
        <v>700</v>
      </c>
      <c r="Q42" s="58">
        <f t="shared" si="5"/>
        <v>15</v>
      </c>
      <c r="R42" s="52">
        <f t="shared" si="6"/>
        <v>37</v>
      </c>
      <c r="S42" s="52">
        <f t="shared" si="7"/>
        <v>1</v>
      </c>
      <c r="T42" s="54">
        <f t="shared" si="48"/>
        <v>0.1</v>
      </c>
      <c r="U42" s="52">
        <f t="shared" si="8"/>
        <v>2100</v>
      </c>
      <c r="V42" s="52">
        <f t="shared" si="29"/>
        <v>3841.3013499147187</v>
      </c>
      <c r="W42" s="52">
        <f t="shared" si="30"/>
        <v>210</v>
      </c>
      <c r="X42" s="87">
        <f t="shared" si="31"/>
        <v>153.65205399658876</v>
      </c>
      <c r="Y42" s="53">
        <f t="shared" si="32"/>
        <v>4204.9534039113078</v>
      </c>
      <c r="AA42" s="58">
        <f t="shared" si="9"/>
        <v>15</v>
      </c>
      <c r="AB42" s="52">
        <f t="shared" si="10"/>
        <v>37</v>
      </c>
      <c r="AC42" s="52">
        <f t="shared" si="11"/>
        <v>0</v>
      </c>
      <c r="AD42" s="54">
        <f t="shared" si="49"/>
        <v>0.15</v>
      </c>
      <c r="AE42" s="52">
        <f t="shared" si="12"/>
        <v>7350</v>
      </c>
      <c r="AF42" s="52">
        <f t="shared" si="33"/>
        <v>0</v>
      </c>
      <c r="AG42" s="52">
        <f t="shared" si="34"/>
        <v>0</v>
      </c>
      <c r="AH42" s="52">
        <f t="shared" si="13"/>
        <v>0</v>
      </c>
      <c r="AI42" s="53">
        <f t="shared" si="35"/>
        <v>0</v>
      </c>
      <c r="AK42" s="58">
        <f t="shared" si="36"/>
        <v>15</v>
      </c>
      <c r="AL42" s="52">
        <f t="shared" si="36"/>
        <v>37</v>
      </c>
      <c r="AM42" s="52">
        <f t="shared" si="14"/>
        <v>1</v>
      </c>
      <c r="AN42" s="54">
        <f t="shared" si="15"/>
        <v>0.13500000000000001</v>
      </c>
      <c r="AO42" s="54">
        <f t="shared" si="16"/>
        <v>0.18</v>
      </c>
      <c r="AP42" s="207">
        <f t="shared" si="37"/>
        <v>7350</v>
      </c>
      <c r="AQ42" s="52">
        <f t="shared" si="38"/>
        <v>20166.832087052273</v>
      </c>
      <c r="AR42" s="52">
        <f t="shared" si="39"/>
        <v>1102.5</v>
      </c>
      <c r="AS42" s="48">
        <f t="shared" si="40"/>
        <v>806.67328348209094</v>
      </c>
      <c r="AT42" s="53">
        <f t="shared" si="41"/>
        <v>22076.005370534363</v>
      </c>
      <c r="AV42" s="58">
        <f t="shared" si="17"/>
        <v>15</v>
      </c>
      <c r="AW42" s="52">
        <f t="shared" si="17"/>
        <v>37</v>
      </c>
      <c r="AX42" s="48">
        <v>1</v>
      </c>
      <c r="AY42" s="54">
        <f t="shared" si="18"/>
        <v>0.13500000000000001</v>
      </c>
      <c r="AZ42" s="54">
        <f t="shared" si="19"/>
        <v>0.18</v>
      </c>
      <c r="BA42" s="207">
        <f t="shared" si="42"/>
        <v>7350</v>
      </c>
      <c r="BB42" s="52">
        <f t="shared" si="43"/>
        <v>20166.832087052273</v>
      </c>
      <c r="BC42" s="48">
        <f t="shared" si="44"/>
        <v>1102.5</v>
      </c>
      <c r="BD42" s="48">
        <f t="shared" si="45"/>
        <v>806.67328348209094</v>
      </c>
      <c r="BE42" s="53">
        <f t="shared" si="46"/>
        <v>22076.005370534363</v>
      </c>
    </row>
    <row r="43" spans="2:57" ht="15.75" thickTop="1" thickBot="1">
      <c r="B43" s="58">
        <f t="shared" si="20"/>
        <v>16</v>
      </c>
      <c r="C43" s="52">
        <f t="shared" si="20"/>
        <v>37</v>
      </c>
      <c r="D43" s="185">
        <f t="shared" si="47"/>
        <v>1</v>
      </c>
      <c r="E43" s="48">
        <f t="shared" si="21"/>
        <v>700</v>
      </c>
      <c r="F43" s="205">
        <f t="shared" si="22"/>
        <v>10.5</v>
      </c>
      <c r="G43" s="192">
        <f t="shared" si="23"/>
        <v>7350</v>
      </c>
      <c r="I43" s="58">
        <f t="shared" si="24"/>
        <v>16</v>
      </c>
      <c r="J43" s="74">
        <f t="shared" si="25"/>
        <v>37</v>
      </c>
      <c r="K43" s="74">
        <f t="shared" si="3"/>
        <v>10.5</v>
      </c>
      <c r="L43" s="52">
        <f t="shared" si="26"/>
        <v>5250</v>
      </c>
      <c r="M43" s="74">
        <f t="shared" si="4"/>
        <v>2100</v>
      </c>
      <c r="N43" s="74">
        <f t="shared" si="27"/>
        <v>7350</v>
      </c>
      <c r="O43" s="180">
        <f t="shared" si="28"/>
        <v>700</v>
      </c>
      <c r="Q43" s="58">
        <f t="shared" si="5"/>
        <v>16</v>
      </c>
      <c r="R43" s="52">
        <f t="shared" si="6"/>
        <v>38</v>
      </c>
      <c r="S43" s="52">
        <f t="shared" si="7"/>
        <v>1</v>
      </c>
      <c r="T43" s="54">
        <f t="shared" si="48"/>
        <v>0.1</v>
      </c>
      <c r="U43" s="52">
        <f t="shared" si="8"/>
        <v>2100</v>
      </c>
      <c r="V43" s="52">
        <f t="shared" si="29"/>
        <v>4204.9534039113078</v>
      </c>
      <c r="W43" s="52">
        <f t="shared" si="30"/>
        <v>210</v>
      </c>
      <c r="X43" s="87">
        <f t="shared" si="31"/>
        <v>168.19813615645231</v>
      </c>
      <c r="Y43" s="53">
        <f t="shared" si="32"/>
        <v>4583.1515400677599</v>
      </c>
      <c r="AA43" s="58">
        <f t="shared" si="9"/>
        <v>16</v>
      </c>
      <c r="AB43" s="52">
        <f t="shared" si="10"/>
        <v>38</v>
      </c>
      <c r="AC43" s="52">
        <f t="shared" si="11"/>
        <v>0</v>
      </c>
      <c r="AD43" s="54">
        <f t="shared" si="49"/>
        <v>0.15</v>
      </c>
      <c r="AE43" s="52">
        <f t="shared" si="12"/>
        <v>7350</v>
      </c>
      <c r="AF43" s="52">
        <f t="shared" si="33"/>
        <v>0</v>
      </c>
      <c r="AG43" s="52">
        <f t="shared" si="34"/>
        <v>0</v>
      </c>
      <c r="AH43" s="52">
        <f t="shared" si="13"/>
        <v>0</v>
      </c>
      <c r="AI43" s="53">
        <f t="shared" si="35"/>
        <v>0</v>
      </c>
      <c r="AK43" s="58">
        <f t="shared" si="36"/>
        <v>16</v>
      </c>
      <c r="AL43" s="52">
        <f t="shared" si="36"/>
        <v>38</v>
      </c>
      <c r="AM43" s="52">
        <f t="shared" si="14"/>
        <v>1</v>
      </c>
      <c r="AN43" s="54">
        <f t="shared" si="15"/>
        <v>0.13500000000000001</v>
      </c>
      <c r="AO43" s="54">
        <f t="shared" si="16"/>
        <v>0.18</v>
      </c>
      <c r="AP43" s="207">
        <f t="shared" si="37"/>
        <v>7350</v>
      </c>
      <c r="AQ43" s="52">
        <f t="shared" si="38"/>
        <v>22076.005370534363</v>
      </c>
      <c r="AR43" s="52">
        <f t="shared" si="39"/>
        <v>1102.5</v>
      </c>
      <c r="AS43" s="48">
        <f t="shared" si="40"/>
        <v>883.04021482137455</v>
      </c>
      <c r="AT43" s="53">
        <f t="shared" si="41"/>
        <v>24061.54558535574</v>
      </c>
      <c r="AV43" s="58">
        <f t="shared" si="17"/>
        <v>16</v>
      </c>
      <c r="AW43" s="52">
        <f t="shared" si="17"/>
        <v>38</v>
      </c>
      <c r="AX43" s="48">
        <v>1</v>
      </c>
      <c r="AY43" s="54">
        <f t="shared" si="18"/>
        <v>0.13500000000000001</v>
      </c>
      <c r="AZ43" s="54">
        <f t="shared" si="19"/>
        <v>0.18</v>
      </c>
      <c r="BA43" s="207">
        <f t="shared" si="42"/>
        <v>7350</v>
      </c>
      <c r="BB43" s="52">
        <f t="shared" si="43"/>
        <v>22076.005370534363</v>
      </c>
      <c r="BC43" s="48">
        <f t="shared" si="44"/>
        <v>1102.5</v>
      </c>
      <c r="BD43" s="48">
        <f t="shared" si="45"/>
        <v>883.04021482137455</v>
      </c>
      <c r="BE43" s="53">
        <f t="shared" si="46"/>
        <v>24061.54558535574</v>
      </c>
    </row>
    <row r="44" spans="2:57" ht="15.75" thickTop="1" thickBot="1">
      <c r="B44" s="58">
        <f t="shared" si="20"/>
        <v>17</v>
      </c>
      <c r="C44" s="52">
        <f t="shared" si="20"/>
        <v>38</v>
      </c>
      <c r="D44" s="185">
        <f t="shared" si="47"/>
        <v>1</v>
      </c>
      <c r="E44" s="48">
        <f t="shared" si="21"/>
        <v>700</v>
      </c>
      <c r="F44" s="205">
        <f t="shared" si="22"/>
        <v>10.5</v>
      </c>
      <c r="G44" s="192">
        <f t="shared" si="23"/>
        <v>7350</v>
      </c>
      <c r="I44" s="58">
        <f t="shared" si="24"/>
        <v>17</v>
      </c>
      <c r="J44" s="74">
        <f t="shared" si="25"/>
        <v>38</v>
      </c>
      <c r="K44" s="74">
        <f t="shared" si="3"/>
        <v>10.5</v>
      </c>
      <c r="L44" s="52">
        <f t="shared" si="26"/>
        <v>5250</v>
      </c>
      <c r="M44" s="74">
        <f t="shared" si="4"/>
        <v>2100</v>
      </c>
      <c r="N44" s="74">
        <f t="shared" si="27"/>
        <v>7350</v>
      </c>
      <c r="O44" s="180">
        <f t="shared" si="28"/>
        <v>700</v>
      </c>
      <c r="Q44" s="58">
        <f t="shared" si="5"/>
        <v>17</v>
      </c>
      <c r="R44" s="52">
        <f t="shared" si="6"/>
        <v>39</v>
      </c>
      <c r="S44" s="52">
        <f t="shared" si="7"/>
        <v>1</v>
      </c>
      <c r="T44" s="54">
        <f t="shared" si="48"/>
        <v>0.1</v>
      </c>
      <c r="U44" s="52">
        <f t="shared" si="8"/>
        <v>2100</v>
      </c>
      <c r="V44" s="52">
        <f t="shared" si="29"/>
        <v>4583.1515400677599</v>
      </c>
      <c r="W44" s="52">
        <f t="shared" si="30"/>
        <v>210</v>
      </c>
      <c r="X44" s="87">
        <f t="shared" si="31"/>
        <v>183.32606160271041</v>
      </c>
      <c r="Y44" s="53">
        <f t="shared" si="32"/>
        <v>4976.47760167047</v>
      </c>
      <c r="AA44" s="58">
        <f t="shared" si="9"/>
        <v>17</v>
      </c>
      <c r="AB44" s="52">
        <f t="shared" si="10"/>
        <v>39</v>
      </c>
      <c r="AC44" s="52">
        <f t="shared" si="11"/>
        <v>0</v>
      </c>
      <c r="AD44" s="54">
        <f t="shared" si="49"/>
        <v>0.15</v>
      </c>
      <c r="AE44" s="52">
        <f t="shared" si="12"/>
        <v>7350</v>
      </c>
      <c r="AF44" s="52">
        <f t="shared" si="33"/>
        <v>0</v>
      </c>
      <c r="AG44" s="52">
        <f t="shared" si="34"/>
        <v>0</v>
      </c>
      <c r="AH44" s="52">
        <f t="shared" si="13"/>
        <v>0</v>
      </c>
      <c r="AI44" s="53">
        <f t="shared" si="35"/>
        <v>0</v>
      </c>
      <c r="AK44" s="58">
        <f t="shared" si="36"/>
        <v>17</v>
      </c>
      <c r="AL44" s="52">
        <f t="shared" si="36"/>
        <v>39</v>
      </c>
      <c r="AM44" s="52">
        <f t="shared" si="14"/>
        <v>1</v>
      </c>
      <c r="AN44" s="54">
        <f t="shared" si="15"/>
        <v>0.13500000000000001</v>
      </c>
      <c r="AO44" s="54">
        <f t="shared" si="16"/>
        <v>0.18</v>
      </c>
      <c r="AP44" s="207">
        <f t="shared" si="37"/>
        <v>7350</v>
      </c>
      <c r="AQ44" s="52">
        <f t="shared" si="38"/>
        <v>24061.54558535574</v>
      </c>
      <c r="AR44" s="52">
        <f t="shared" si="39"/>
        <v>1102.5</v>
      </c>
      <c r="AS44" s="48">
        <f t="shared" si="40"/>
        <v>962.46182341422957</v>
      </c>
      <c r="AT44" s="53">
        <f t="shared" si="41"/>
        <v>26126.507408769969</v>
      </c>
      <c r="AV44" s="58">
        <f t="shared" si="17"/>
        <v>17</v>
      </c>
      <c r="AW44" s="52">
        <f t="shared" si="17"/>
        <v>39</v>
      </c>
      <c r="AX44" s="48">
        <v>1</v>
      </c>
      <c r="AY44" s="54">
        <f t="shared" si="18"/>
        <v>0.13500000000000001</v>
      </c>
      <c r="AZ44" s="54">
        <f t="shared" si="19"/>
        <v>0.18</v>
      </c>
      <c r="BA44" s="207">
        <f t="shared" si="42"/>
        <v>7350</v>
      </c>
      <c r="BB44" s="52">
        <f t="shared" si="43"/>
        <v>24061.54558535574</v>
      </c>
      <c r="BC44" s="48">
        <f t="shared" si="44"/>
        <v>1102.5</v>
      </c>
      <c r="BD44" s="48">
        <f t="shared" si="45"/>
        <v>962.46182341422957</v>
      </c>
      <c r="BE44" s="53">
        <f t="shared" si="46"/>
        <v>26126.507408769969</v>
      </c>
    </row>
    <row r="45" spans="2:57" ht="15.75" thickTop="1" thickBot="1">
      <c r="B45" s="124">
        <f t="shared" ref="B45:C60" si="50">+B44+1</f>
        <v>18</v>
      </c>
      <c r="C45" s="125">
        <f t="shared" si="50"/>
        <v>39</v>
      </c>
      <c r="D45" s="185">
        <f t="shared" si="47"/>
        <v>1</v>
      </c>
      <c r="E45" s="48">
        <f t="shared" si="21"/>
        <v>700</v>
      </c>
      <c r="F45" s="205">
        <f t="shared" si="22"/>
        <v>10.5</v>
      </c>
      <c r="G45" s="192">
        <f t="shared" si="23"/>
        <v>7350</v>
      </c>
      <c r="I45" s="124">
        <f t="shared" si="24"/>
        <v>18</v>
      </c>
      <c r="J45" s="129">
        <f t="shared" si="25"/>
        <v>39</v>
      </c>
      <c r="K45" s="129">
        <f t="shared" si="3"/>
        <v>10.5</v>
      </c>
      <c r="L45" s="125">
        <f t="shared" si="26"/>
        <v>5250</v>
      </c>
      <c r="M45" s="129">
        <f t="shared" si="4"/>
        <v>2100</v>
      </c>
      <c r="N45" s="74">
        <f t="shared" si="27"/>
        <v>7350</v>
      </c>
      <c r="O45" s="180">
        <f t="shared" si="28"/>
        <v>700</v>
      </c>
      <c r="Q45" s="124">
        <f t="shared" si="5"/>
        <v>18</v>
      </c>
      <c r="R45" s="125">
        <f t="shared" si="6"/>
        <v>40</v>
      </c>
      <c r="S45" s="125">
        <f t="shared" si="7"/>
        <v>1</v>
      </c>
      <c r="T45" s="126">
        <f t="shared" si="48"/>
        <v>0.1</v>
      </c>
      <c r="U45" s="125">
        <f t="shared" si="8"/>
        <v>2100</v>
      </c>
      <c r="V45" s="125">
        <f t="shared" si="29"/>
        <v>4976.47760167047</v>
      </c>
      <c r="W45" s="125">
        <f t="shared" si="30"/>
        <v>210</v>
      </c>
      <c r="X45" s="87">
        <f t="shared" si="31"/>
        <v>199.0591040668188</v>
      </c>
      <c r="Y45" s="128">
        <f t="shared" si="32"/>
        <v>5385.5367057372887</v>
      </c>
      <c r="AA45" s="124">
        <f t="shared" si="9"/>
        <v>18</v>
      </c>
      <c r="AB45" s="125">
        <f t="shared" si="10"/>
        <v>40</v>
      </c>
      <c r="AC45" s="125">
        <f t="shared" si="11"/>
        <v>0</v>
      </c>
      <c r="AD45" s="126">
        <f t="shared" si="49"/>
        <v>0.15</v>
      </c>
      <c r="AE45" s="125">
        <f t="shared" si="12"/>
        <v>7350</v>
      </c>
      <c r="AF45" s="125">
        <f t="shared" si="33"/>
        <v>0</v>
      </c>
      <c r="AG45" s="125">
        <f t="shared" si="34"/>
        <v>0</v>
      </c>
      <c r="AH45" s="125">
        <f t="shared" si="13"/>
        <v>0</v>
      </c>
      <c r="AI45" s="128">
        <f t="shared" si="35"/>
        <v>0</v>
      </c>
      <c r="AK45" s="124">
        <f t="shared" si="36"/>
        <v>18</v>
      </c>
      <c r="AL45" s="125">
        <f t="shared" si="36"/>
        <v>40</v>
      </c>
      <c r="AM45" s="125">
        <f t="shared" si="14"/>
        <v>1</v>
      </c>
      <c r="AN45" s="126">
        <f t="shared" si="15"/>
        <v>0.13500000000000001</v>
      </c>
      <c r="AO45" s="126">
        <f t="shared" si="16"/>
        <v>0.18</v>
      </c>
      <c r="AP45" s="207">
        <f t="shared" si="37"/>
        <v>7350</v>
      </c>
      <c r="AQ45" s="125">
        <f t="shared" si="38"/>
        <v>26126.507408769969</v>
      </c>
      <c r="AR45" s="52">
        <f t="shared" si="39"/>
        <v>1102.5</v>
      </c>
      <c r="AS45" s="48">
        <f t="shared" si="40"/>
        <v>1045.0602963507988</v>
      </c>
      <c r="AT45" s="128">
        <f t="shared" si="41"/>
        <v>28274.067705120768</v>
      </c>
      <c r="AV45" s="124">
        <f t="shared" si="17"/>
        <v>18</v>
      </c>
      <c r="AW45" s="125">
        <f t="shared" si="17"/>
        <v>40</v>
      </c>
      <c r="AX45" s="48">
        <v>1</v>
      </c>
      <c r="AY45" s="126">
        <f t="shared" si="18"/>
        <v>0.13500000000000001</v>
      </c>
      <c r="AZ45" s="126">
        <f t="shared" si="19"/>
        <v>0.18</v>
      </c>
      <c r="BA45" s="207">
        <f t="shared" si="42"/>
        <v>7350</v>
      </c>
      <c r="BB45" s="125">
        <f t="shared" si="43"/>
        <v>26126.507408769969</v>
      </c>
      <c r="BC45" s="48">
        <f t="shared" si="44"/>
        <v>1102.5</v>
      </c>
      <c r="BD45" s="48">
        <f t="shared" si="45"/>
        <v>1045.0602963507988</v>
      </c>
      <c r="BE45" s="128">
        <f t="shared" si="46"/>
        <v>28274.067705120768</v>
      </c>
    </row>
    <row r="46" spans="2:57" ht="15.75" thickTop="1" thickBot="1">
      <c r="B46" s="58">
        <f t="shared" si="50"/>
        <v>19</v>
      </c>
      <c r="C46" s="52">
        <f t="shared" si="50"/>
        <v>40</v>
      </c>
      <c r="D46" s="185">
        <f t="shared" si="47"/>
        <v>1</v>
      </c>
      <c r="E46" s="48">
        <f t="shared" si="21"/>
        <v>700</v>
      </c>
      <c r="F46" s="205">
        <f t="shared" si="22"/>
        <v>10.5</v>
      </c>
      <c r="G46" s="192">
        <f t="shared" si="23"/>
        <v>7350</v>
      </c>
      <c r="I46" s="58">
        <f t="shared" si="24"/>
        <v>19</v>
      </c>
      <c r="J46" s="74">
        <f t="shared" si="25"/>
        <v>40</v>
      </c>
      <c r="K46" s="74">
        <f t="shared" si="3"/>
        <v>10.5</v>
      </c>
      <c r="L46" s="52">
        <f t="shared" si="26"/>
        <v>5250</v>
      </c>
      <c r="M46" s="74">
        <f t="shared" si="4"/>
        <v>2100</v>
      </c>
      <c r="N46" s="74">
        <f t="shared" si="27"/>
        <v>7350</v>
      </c>
      <c r="O46" s="180">
        <f t="shared" si="28"/>
        <v>700</v>
      </c>
      <c r="Q46" s="58">
        <f t="shared" si="5"/>
        <v>19</v>
      </c>
      <c r="R46" s="52">
        <f t="shared" si="6"/>
        <v>41</v>
      </c>
      <c r="S46" s="52">
        <f t="shared" si="7"/>
        <v>1</v>
      </c>
      <c r="T46" s="54">
        <f t="shared" si="48"/>
        <v>0.1</v>
      </c>
      <c r="U46" s="52">
        <f t="shared" si="8"/>
        <v>2100</v>
      </c>
      <c r="V46" s="52">
        <f t="shared" si="29"/>
        <v>5385.5367057372887</v>
      </c>
      <c r="W46" s="52">
        <f t="shared" si="30"/>
        <v>210</v>
      </c>
      <c r="X46" s="87">
        <f t="shared" si="31"/>
        <v>215.42146822949155</v>
      </c>
      <c r="Y46" s="53">
        <f t="shared" si="32"/>
        <v>5810.9581739667801</v>
      </c>
      <c r="AA46" s="58">
        <f t="shared" si="9"/>
        <v>19</v>
      </c>
      <c r="AB46" s="52">
        <f t="shared" si="10"/>
        <v>41</v>
      </c>
      <c r="AC46" s="52">
        <f t="shared" si="11"/>
        <v>0</v>
      </c>
      <c r="AD46" s="54">
        <f t="shared" si="49"/>
        <v>0.15</v>
      </c>
      <c r="AE46" s="52">
        <f t="shared" si="12"/>
        <v>7350</v>
      </c>
      <c r="AF46" s="52">
        <f t="shared" si="33"/>
        <v>0</v>
      </c>
      <c r="AG46" s="52">
        <f t="shared" si="34"/>
        <v>0</v>
      </c>
      <c r="AH46" s="52">
        <f t="shared" si="13"/>
        <v>0</v>
      </c>
      <c r="AI46" s="53">
        <f t="shared" si="35"/>
        <v>0</v>
      </c>
      <c r="AK46" s="58">
        <f t="shared" si="36"/>
        <v>19</v>
      </c>
      <c r="AL46" s="52">
        <f t="shared" si="36"/>
        <v>41</v>
      </c>
      <c r="AM46" s="52">
        <f t="shared" si="14"/>
        <v>1</v>
      </c>
      <c r="AN46" s="54">
        <f t="shared" si="15"/>
        <v>0.13500000000000001</v>
      </c>
      <c r="AO46" s="54">
        <f t="shared" si="16"/>
        <v>0.18</v>
      </c>
      <c r="AP46" s="207">
        <f t="shared" si="37"/>
        <v>7350</v>
      </c>
      <c r="AQ46" s="52">
        <f t="shared" si="38"/>
        <v>28274.067705120768</v>
      </c>
      <c r="AR46" s="52">
        <f t="shared" si="39"/>
        <v>1102.5</v>
      </c>
      <c r="AS46" s="48">
        <f t="shared" si="40"/>
        <v>1130.9627082048307</v>
      </c>
      <c r="AT46" s="53">
        <f t="shared" si="41"/>
        <v>30507.5304133256</v>
      </c>
      <c r="AV46" s="58">
        <f t="shared" si="17"/>
        <v>19</v>
      </c>
      <c r="AW46" s="52">
        <f t="shared" si="17"/>
        <v>41</v>
      </c>
      <c r="AX46" s="48">
        <v>1</v>
      </c>
      <c r="AY46" s="54">
        <f t="shared" si="18"/>
        <v>0.13500000000000001</v>
      </c>
      <c r="AZ46" s="54">
        <f t="shared" si="19"/>
        <v>0.18</v>
      </c>
      <c r="BA46" s="207">
        <f t="shared" si="42"/>
        <v>7350</v>
      </c>
      <c r="BB46" s="52">
        <f t="shared" si="43"/>
        <v>28274.067705120768</v>
      </c>
      <c r="BC46" s="48">
        <f t="shared" si="44"/>
        <v>1102.5</v>
      </c>
      <c r="BD46" s="48">
        <f t="shared" si="45"/>
        <v>1130.9627082048307</v>
      </c>
      <c r="BE46" s="53">
        <f t="shared" si="46"/>
        <v>30507.5304133256</v>
      </c>
    </row>
    <row r="47" spans="2:57" ht="15.75" thickTop="1" thickBot="1">
      <c r="B47" s="58">
        <f t="shared" si="50"/>
        <v>20</v>
      </c>
      <c r="C47" s="52">
        <f t="shared" si="50"/>
        <v>41</v>
      </c>
      <c r="D47" s="185">
        <f t="shared" si="47"/>
        <v>1</v>
      </c>
      <c r="E47" s="48">
        <f t="shared" si="21"/>
        <v>700</v>
      </c>
      <c r="F47" s="205">
        <f t="shared" si="22"/>
        <v>10.5</v>
      </c>
      <c r="G47" s="192">
        <f t="shared" si="23"/>
        <v>7350</v>
      </c>
      <c r="I47" s="58">
        <f t="shared" si="24"/>
        <v>20</v>
      </c>
      <c r="J47" s="74">
        <f t="shared" si="25"/>
        <v>41</v>
      </c>
      <c r="K47" s="74">
        <f t="shared" si="3"/>
        <v>10.5</v>
      </c>
      <c r="L47" s="52">
        <f t="shared" si="26"/>
        <v>5250</v>
      </c>
      <c r="M47" s="74">
        <f t="shared" si="4"/>
        <v>2100</v>
      </c>
      <c r="N47" s="74">
        <f t="shared" si="27"/>
        <v>7350</v>
      </c>
      <c r="O47" s="180">
        <f t="shared" si="28"/>
        <v>700</v>
      </c>
      <c r="Q47" s="58">
        <f t="shared" si="5"/>
        <v>20</v>
      </c>
      <c r="R47" s="52">
        <f t="shared" si="6"/>
        <v>42</v>
      </c>
      <c r="S47" s="52">
        <f t="shared" si="7"/>
        <v>1</v>
      </c>
      <c r="T47" s="54">
        <f t="shared" si="48"/>
        <v>0.1</v>
      </c>
      <c r="U47" s="52">
        <f t="shared" si="8"/>
        <v>2100</v>
      </c>
      <c r="V47" s="52">
        <f t="shared" si="29"/>
        <v>5810.9581739667801</v>
      </c>
      <c r="W47" s="52">
        <f t="shared" si="30"/>
        <v>210</v>
      </c>
      <c r="X47" s="87">
        <f t="shared" si="31"/>
        <v>232.43832695867121</v>
      </c>
      <c r="Y47" s="53">
        <f t="shared" si="32"/>
        <v>6253.3965009254516</v>
      </c>
      <c r="AA47" s="58">
        <f t="shared" si="9"/>
        <v>20</v>
      </c>
      <c r="AB47" s="52">
        <f t="shared" si="10"/>
        <v>42</v>
      </c>
      <c r="AC47" s="52">
        <f t="shared" si="11"/>
        <v>0</v>
      </c>
      <c r="AD47" s="54">
        <f t="shared" si="49"/>
        <v>0.15</v>
      </c>
      <c r="AE47" s="52">
        <f t="shared" si="12"/>
        <v>7350</v>
      </c>
      <c r="AF47" s="52">
        <f t="shared" si="33"/>
        <v>0</v>
      </c>
      <c r="AG47" s="52">
        <f t="shared" si="34"/>
        <v>0</v>
      </c>
      <c r="AH47" s="52">
        <f t="shared" si="13"/>
        <v>0</v>
      </c>
      <c r="AI47" s="53">
        <f t="shared" si="35"/>
        <v>0</v>
      </c>
      <c r="AK47" s="58">
        <f t="shared" si="36"/>
        <v>20</v>
      </c>
      <c r="AL47" s="52">
        <f t="shared" si="36"/>
        <v>42</v>
      </c>
      <c r="AM47" s="52">
        <f t="shared" si="14"/>
        <v>1</v>
      </c>
      <c r="AN47" s="54">
        <f t="shared" si="15"/>
        <v>0.13500000000000001</v>
      </c>
      <c r="AO47" s="54">
        <f t="shared" si="16"/>
        <v>0.18</v>
      </c>
      <c r="AP47" s="207">
        <f t="shared" si="37"/>
        <v>7350</v>
      </c>
      <c r="AQ47" s="52">
        <f t="shared" si="38"/>
        <v>30507.5304133256</v>
      </c>
      <c r="AR47" s="52">
        <f t="shared" si="39"/>
        <v>1102.5</v>
      </c>
      <c r="AS47" s="48">
        <f t="shared" si="40"/>
        <v>1220.301216533024</v>
      </c>
      <c r="AT47" s="53">
        <f t="shared" si="41"/>
        <v>32830.331629858621</v>
      </c>
      <c r="AV47" s="58">
        <f t="shared" si="17"/>
        <v>20</v>
      </c>
      <c r="AW47" s="52">
        <f t="shared" si="17"/>
        <v>42</v>
      </c>
      <c r="AX47" s="48">
        <v>1</v>
      </c>
      <c r="AY47" s="54">
        <f t="shared" si="18"/>
        <v>0.13500000000000001</v>
      </c>
      <c r="AZ47" s="54">
        <f t="shared" si="19"/>
        <v>0.18</v>
      </c>
      <c r="BA47" s="207">
        <f t="shared" si="42"/>
        <v>7350</v>
      </c>
      <c r="BB47" s="52">
        <f t="shared" si="43"/>
        <v>30507.5304133256</v>
      </c>
      <c r="BC47" s="48">
        <f t="shared" si="44"/>
        <v>1102.5</v>
      </c>
      <c r="BD47" s="48">
        <f t="shared" si="45"/>
        <v>1220.301216533024</v>
      </c>
      <c r="BE47" s="53">
        <f t="shared" si="46"/>
        <v>32830.331629858621</v>
      </c>
    </row>
    <row r="48" spans="2:57" ht="15.75" thickTop="1" thickBot="1">
      <c r="B48" s="58">
        <f t="shared" si="50"/>
        <v>21</v>
      </c>
      <c r="C48" s="52">
        <f t="shared" si="50"/>
        <v>42</v>
      </c>
      <c r="D48" s="185">
        <f t="shared" si="47"/>
        <v>1</v>
      </c>
      <c r="E48" s="48">
        <f t="shared" si="21"/>
        <v>700</v>
      </c>
      <c r="F48" s="205">
        <f t="shared" si="22"/>
        <v>10.5</v>
      </c>
      <c r="G48" s="192">
        <f t="shared" si="23"/>
        <v>7350</v>
      </c>
      <c r="I48" s="58">
        <f t="shared" si="24"/>
        <v>21</v>
      </c>
      <c r="J48" s="74">
        <f t="shared" si="25"/>
        <v>42</v>
      </c>
      <c r="K48" s="74">
        <f t="shared" si="3"/>
        <v>10.5</v>
      </c>
      <c r="L48" s="52">
        <f t="shared" si="26"/>
        <v>5250</v>
      </c>
      <c r="M48" s="74">
        <f t="shared" si="4"/>
        <v>2100</v>
      </c>
      <c r="N48" s="74">
        <f t="shared" si="27"/>
        <v>7350</v>
      </c>
      <c r="O48" s="180">
        <f t="shared" si="28"/>
        <v>700</v>
      </c>
      <c r="Q48" s="58">
        <f t="shared" si="5"/>
        <v>21</v>
      </c>
      <c r="R48" s="52">
        <f t="shared" si="6"/>
        <v>43</v>
      </c>
      <c r="S48" s="52">
        <f t="shared" si="7"/>
        <v>1</v>
      </c>
      <c r="T48" s="54">
        <f t="shared" si="48"/>
        <v>0.1</v>
      </c>
      <c r="U48" s="52">
        <f t="shared" si="8"/>
        <v>2100</v>
      </c>
      <c r="V48" s="52">
        <f t="shared" si="29"/>
        <v>6253.3965009254516</v>
      </c>
      <c r="W48" s="52">
        <f t="shared" si="30"/>
        <v>210</v>
      </c>
      <c r="X48" s="87">
        <f t="shared" si="31"/>
        <v>250.13586003701806</v>
      </c>
      <c r="Y48" s="53">
        <f t="shared" si="32"/>
        <v>6713.5323609624693</v>
      </c>
      <c r="AA48" s="58">
        <f t="shared" si="9"/>
        <v>21</v>
      </c>
      <c r="AB48" s="52">
        <f t="shared" si="10"/>
        <v>43</v>
      </c>
      <c r="AC48" s="52">
        <f t="shared" si="11"/>
        <v>0</v>
      </c>
      <c r="AD48" s="54">
        <f t="shared" si="49"/>
        <v>0.15</v>
      </c>
      <c r="AE48" s="52">
        <f t="shared" si="12"/>
        <v>7350</v>
      </c>
      <c r="AF48" s="52">
        <f t="shared" si="33"/>
        <v>0</v>
      </c>
      <c r="AG48" s="52">
        <f t="shared" si="34"/>
        <v>0</v>
      </c>
      <c r="AH48" s="52">
        <f t="shared" si="13"/>
        <v>0</v>
      </c>
      <c r="AI48" s="53">
        <f t="shared" si="35"/>
        <v>0</v>
      </c>
      <c r="AK48" s="58">
        <f t="shared" si="36"/>
        <v>21</v>
      </c>
      <c r="AL48" s="52">
        <f t="shared" si="36"/>
        <v>43</v>
      </c>
      <c r="AM48" s="52">
        <f t="shared" si="14"/>
        <v>1</v>
      </c>
      <c r="AN48" s="54">
        <f t="shared" si="15"/>
        <v>0.13500000000000001</v>
      </c>
      <c r="AO48" s="54">
        <f t="shared" si="16"/>
        <v>0.18</v>
      </c>
      <c r="AP48" s="207">
        <f t="shared" si="37"/>
        <v>7350</v>
      </c>
      <c r="AQ48" s="52">
        <f t="shared" si="38"/>
        <v>32830.331629858621</v>
      </c>
      <c r="AR48" s="52">
        <f t="shared" si="39"/>
        <v>1102.5</v>
      </c>
      <c r="AS48" s="48">
        <f t="shared" si="40"/>
        <v>1313.2132651943448</v>
      </c>
      <c r="AT48" s="53">
        <f t="shared" si="41"/>
        <v>35246.044895052968</v>
      </c>
      <c r="AV48" s="58">
        <f t="shared" si="17"/>
        <v>21</v>
      </c>
      <c r="AW48" s="52">
        <f t="shared" si="17"/>
        <v>43</v>
      </c>
      <c r="AX48" s="48">
        <v>1</v>
      </c>
      <c r="AY48" s="54">
        <f t="shared" si="18"/>
        <v>0.13500000000000001</v>
      </c>
      <c r="AZ48" s="54">
        <f t="shared" si="19"/>
        <v>0.18</v>
      </c>
      <c r="BA48" s="207">
        <f t="shared" si="42"/>
        <v>7350</v>
      </c>
      <c r="BB48" s="52">
        <f t="shared" si="43"/>
        <v>32830.331629858621</v>
      </c>
      <c r="BC48" s="48">
        <f t="shared" si="44"/>
        <v>1102.5</v>
      </c>
      <c r="BD48" s="48">
        <f t="shared" si="45"/>
        <v>1313.2132651943448</v>
      </c>
      <c r="BE48" s="53">
        <f t="shared" si="46"/>
        <v>35246.044895052968</v>
      </c>
    </row>
    <row r="49" spans="2:57" ht="15.75" thickTop="1" thickBot="1">
      <c r="B49" s="58">
        <f t="shared" si="50"/>
        <v>22</v>
      </c>
      <c r="C49" s="52">
        <f t="shared" si="50"/>
        <v>43</v>
      </c>
      <c r="D49" s="185">
        <f t="shared" si="47"/>
        <v>1</v>
      </c>
      <c r="E49" s="48">
        <f t="shared" si="21"/>
        <v>700</v>
      </c>
      <c r="F49" s="205">
        <f t="shared" si="22"/>
        <v>10.5</v>
      </c>
      <c r="G49" s="192">
        <f t="shared" si="23"/>
        <v>7350</v>
      </c>
      <c r="I49" s="58">
        <f t="shared" si="24"/>
        <v>22</v>
      </c>
      <c r="J49" s="74">
        <f t="shared" si="25"/>
        <v>43</v>
      </c>
      <c r="K49" s="74">
        <f t="shared" si="3"/>
        <v>10.5</v>
      </c>
      <c r="L49" s="52">
        <f t="shared" si="26"/>
        <v>5250</v>
      </c>
      <c r="M49" s="74">
        <f t="shared" si="4"/>
        <v>2100</v>
      </c>
      <c r="N49" s="74">
        <f t="shared" si="27"/>
        <v>7350</v>
      </c>
      <c r="O49" s="180">
        <f t="shared" si="28"/>
        <v>700</v>
      </c>
      <c r="Q49" s="58">
        <f t="shared" si="5"/>
        <v>22</v>
      </c>
      <c r="R49" s="52">
        <f t="shared" si="6"/>
        <v>44</v>
      </c>
      <c r="S49" s="52">
        <f t="shared" si="7"/>
        <v>1</v>
      </c>
      <c r="T49" s="54">
        <f t="shared" si="48"/>
        <v>0.1</v>
      </c>
      <c r="U49" s="52">
        <f t="shared" si="8"/>
        <v>2100</v>
      </c>
      <c r="V49" s="52">
        <f t="shared" si="29"/>
        <v>6713.5323609624693</v>
      </c>
      <c r="W49" s="52">
        <f t="shared" si="30"/>
        <v>210</v>
      </c>
      <c r="X49" s="87">
        <f t="shared" si="31"/>
        <v>268.54129443849877</v>
      </c>
      <c r="Y49" s="53">
        <f t="shared" si="32"/>
        <v>7192.0736554009682</v>
      </c>
      <c r="AA49" s="58">
        <f t="shared" si="9"/>
        <v>22</v>
      </c>
      <c r="AB49" s="52">
        <f t="shared" si="10"/>
        <v>44</v>
      </c>
      <c r="AC49" s="52">
        <f t="shared" si="11"/>
        <v>0</v>
      </c>
      <c r="AD49" s="54">
        <f t="shared" si="49"/>
        <v>0.15</v>
      </c>
      <c r="AE49" s="52">
        <f t="shared" si="12"/>
        <v>7350</v>
      </c>
      <c r="AF49" s="52">
        <f t="shared" si="33"/>
        <v>0</v>
      </c>
      <c r="AG49" s="52">
        <f t="shared" si="34"/>
        <v>0</v>
      </c>
      <c r="AH49" s="52">
        <f t="shared" si="13"/>
        <v>0</v>
      </c>
      <c r="AI49" s="53">
        <f t="shared" si="35"/>
        <v>0</v>
      </c>
      <c r="AK49" s="58">
        <f t="shared" si="36"/>
        <v>22</v>
      </c>
      <c r="AL49" s="52">
        <f t="shared" si="36"/>
        <v>44</v>
      </c>
      <c r="AM49" s="52">
        <f t="shared" si="14"/>
        <v>1</v>
      </c>
      <c r="AN49" s="54">
        <f t="shared" si="15"/>
        <v>0.13500000000000001</v>
      </c>
      <c r="AO49" s="54">
        <f t="shared" si="16"/>
        <v>0.18</v>
      </c>
      <c r="AP49" s="207">
        <f t="shared" si="37"/>
        <v>7350</v>
      </c>
      <c r="AQ49" s="52">
        <f t="shared" si="38"/>
        <v>35246.044895052968</v>
      </c>
      <c r="AR49" s="52">
        <f t="shared" si="39"/>
        <v>1102.5</v>
      </c>
      <c r="AS49" s="48">
        <f t="shared" si="40"/>
        <v>1409.8417958021187</v>
      </c>
      <c r="AT49" s="53">
        <f t="shared" si="41"/>
        <v>37758.386690855084</v>
      </c>
      <c r="AV49" s="58">
        <f t="shared" si="17"/>
        <v>22</v>
      </c>
      <c r="AW49" s="52">
        <f t="shared" si="17"/>
        <v>44</v>
      </c>
      <c r="AX49" s="48">
        <v>1</v>
      </c>
      <c r="AY49" s="54">
        <f t="shared" si="18"/>
        <v>0.13500000000000001</v>
      </c>
      <c r="AZ49" s="54">
        <f t="shared" si="19"/>
        <v>0.18</v>
      </c>
      <c r="BA49" s="207">
        <f t="shared" si="42"/>
        <v>7350</v>
      </c>
      <c r="BB49" s="52">
        <f t="shared" si="43"/>
        <v>35246.044895052968</v>
      </c>
      <c r="BC49" s="48">
        <f t="shared" si="44"/>
        <v>1102.5</v>
      </c>
      <c r="BD49" s="48">
        <f t="shared" si="45"/>
        <v>1409.8417958021187</v>
      </c>
      <c r="BE49" s="53">
        <f t="shared" si="46"/>
        <v>37758.386690855084</v>
      </c>
    </row>
    <row r="50" spans="2:57" ht="15.75" thickTop="1" thickBot="1">
      <c r="B50" s="58">
        <f t="shared" si="50"/>
        <v>23</v>
      </c>
      <c r="C50" s="52">
        <f t="shared" si="50"/>
        <v>44</v>
      </c>
      <c r="D50" s="185">
        <f t="shared" si="47"/>
        <v>1</v>
      </c>
      <c r="E50" s="48">
        <f t="shared" si="21"/>
        <v>700</v>
      </c>
      <c r="F50" s="205">
        <f t="shared" si="22"/>
        <v>10.5</v>
      </c>
      <c r="G50" s="192">
        <f t="shared" si="23"/>
        <v>7350</v>
      </c>
      <c r="I50" s="58">
        <f t="shared" si="24"/>
        <v>23</v>
      </c>
      <c r="J50" s="74">
        <f t="shared" si="25"/>
        <v>44</v>
      </c>
      <c r="K50" s="74">
        <f t="shared" si="3"/>
        <v>10.5</v>
      </c>
      <c r="L50" s="52">
        <f t="shared" si="26"/>
        <v>5250</v>
      </c>
      <c r="M50" s="74">
        <f t="shared" si="4"/>
        <v>2100</v>
      </c>
      <c r="N50" s="74">
        <f t="shared" si="27"/>
        <v>7350</v>
      </c>
      <c r="O50" s="180">
        <f t="shared" si="28"/>
        <v>700</v>
      </c>
      <c r="Q50" s="58">
        <f t="shared" si="5"/>
        <v>23</v>
      </c>
      <c r="R50" s="52">
        <f t="shared" si="6"/>
        <v>45</v>
      </c>
      <c r="S50" s="52">
        <f t="shared" si="7"/>
        <v>1</v>
      </c>
      <c r="T50" s="54">
        <f t="shared" si="48"/>
        <v>0.1</v>
      </c>
      <c r="U50" s="52">
        <f t="shared" si="8"/>
        <v>2100</v>
      </c>
      <c r="V50" s="52">
        <f t="shared" si="29"/>
        <v>7192.0736554009682</v>
      </c>
      <c r="W50" s="52">
        <f t="shared" si="30"/>
        <v>210</v>
      </c>
      <c r="X50" s="87">
        <f t="shared" si="31"/>
        <v>287.68294621603872</v>
      </c>
      <c r="Y50" s="53">
        <f t="shared" si="32"/>
        <v>7689.7566016170067</v>
      </c>
      <c r="AA50" s="58">
        <f t="shared" si="9"/>
        <v>23</v>
      </c>
      <c r="AB50" s="52">
        <f t="shared" si="10"/>
        <v>45</v>
      </c>
      <c r="AC50" s="52">
        <f t="shared" si="11"/>
        <v>0</v>
      </c>
      <c r="AD50" s="54">
        <f t="shared" si="49"/>
        <v>0.15</v>
      </c>
      <c r="AE50" s="52">
        <f t="shared" si="12"/>
        <v>7350</v>
      </c>
      <c r="AF50" s="52">
        <f t="shared" si="33"/>
        <v>0</v>
      </c>
      <c r="AG50" s="52">
        <f t="shared" si="34"/>
        <v>0</v>
      </c>
      <c r="AH50" s="52">
        <f t="shared" si="13"/>
        <v>0</v>
      </c>
      <c r="AI50" s="53">
        <f t="shared" si="35"/>
        <v>0</v>
      </c>
      <c r="AK50" s="58">
        <f t="shared" si="36"/>
        <v>23</v>
      </c>
      <c r="AL50" s="52">
        <f t="shared" si="36"/>
        <v>45</v>
      </c>
      <c r="AM50" s="52">
        <f t="shared" si="14"/>
        <v>1</v>
      </c>
      <c r="AN50" s="54">
        <f t="shared" si="15"/>
        <v>0.13500000000000001</v>
      </c>
      <c r="AO50" s="54">
        <f t="shared" si="16"/>
        <v>0.18</v>
      </c>
      <c r="AP50" s="207">
        <f t="shared" si="37"/>
        <v>7350</v>
      </c>
      <c r="AQ50" s="52">
        <f t="shared" si="38"/>
        <v>37758.386690855084</v>
      </c>
      <c r="AR50" s="52">
        <f t="shared" si="39"/>
        <v>1102.5</v>
      </c>
      <c r="AS50" s="48">
        <f t="shared" si="40"/>
        <v>1510.3354676342035</v>
      </c>
      <c r="AT50" s="53">
        <f t="shared" si="41"/>
        <v>40371.22215848929</v>
      </c>
      <c r="AV50" s="58">
        <f t="shared" si="17"/>
        <v>23</v>
      </c>
      <c r="AW50" s="52">
        <f t="shared" si="17"/>
        <v>45</v>
      </c>
      <c r="AX50" s="48">
        <v>1</v>
      </c>
      <c r="AY50" s="54">
        <f t="shared" si="18"/>
        <v>0.13500000000000001</v>
      </c>
      <c r="AZ50" s="54">
        <f t="shared" si="19"/>
        <v>0.18</v>
      </c>
      <c r="BA50" s="207">
        <f t="shared" si="42"/>
        <v>7350</v>
      </c>
      <c r="BB50" s="52">
        <f t="shared" si="43"/>
        <v>37758.386690855084</v>
      </c>
      <c r="BC50" s="48">
        <f t="shared" si="44"/>
        <v>1102.5</v>
      </c>
      <c r="BD50" s="48">
        <f t="shared" si="45"/>
        <v>1510.3354676342035</v>
      </c>
      <c r="BE50" s="53">
        <f t="shared" si="46"/>
        <v>40371.22215848929</v>
      </c>
    </row>
    <row r="51" spans="2:57" ht="15.75" thickTop="1" thickBot="1">
      <c r="B51" s="58">
        <f t="shared" si="50"/>
        <v>24</v>
      </c>
      <c r="C51" s="52">
        <f t="shared" si="50"/>
        <v>45</v>
      </c>
      <c r="D51" s="185">
        <f t="shared" si="47"/>
        <v>1</v>
      </c>
      <c r="E51" s="48">
        <f t="shared" si="21"/>
        <v>700</v>
      </c>
      <c r="F51" s="205">
        <f t="shared" si="22"/>
        <v>10.5</v>
      </c>
      <c r="G51" s="192">
        <f t="shared" si="23"/>
        <v>7350</v>
      </c>
      <c r="I51" s="58">
        <f t="shared" si="24"/>
        <v>24</v>
      </c>
      <c r="J51" s="74">
        <f t="shared" si="25"/>
        <v>45</v>
      </c>
      <c r="K51" s="74">
        <f t="shared" si="3"/>
        <v>10.5</v>
      </c>
      <c r="L51" s="52">
        <f t="shared" si="26"/>
        <v>5250</v>
      </c>
      <c r="M51" s="74">
        <f t="shared" si="4"/>
        <v>2100</v>
      </c>
      <c r="N51" s="74">
        <f t="shared" si="27"/>
        <v>7350</v>
      </c>
      <c r="O51" s="180">
        <f t="shared" si="28"/>
        <v>700</v>
      </c>
      <c r="Q51" s="58">
        <f t="shared" si="5"/>
        <v>24</v>
      </c>
      <c r="R51" s="52">
        <f t="shared" si="6"/>
        <v>46</v>
      </c>
      <c r="S51" s="52">
        <f t="shared" si="7"/>
        <v>1</v>
      </c>
      <c r="T51" s="54">
        <f t="shared" si="48"/>
        <v>0.1</v>
      </c>
      <c r="U51" s="52">
        <f t="shared" si="8"/>
        <v>2100</v>
      </c>
      <c r="V51" s="52">
        <f t="shared" si="29"/>
        <v>7689.7566016170067</v>
      </c>
      <c r="W51" s="52">
        <f t="shared" si="30"/>
        <v>210</v>
      </c>
      <c r="X51" s="87">
        <f t="shared" si="31"/>
        <v>307.5902640646803</v>
      </c>
      <c r="Y51" s="53">
        <f t="shared" si="32"/>
        <v>8207.3468656816876</v>
      </c>
      <c r="AA51" s="58">
        <f t="shared" si="9"/>
        <v>24</v>
      </c>
      <c r="AB51" s="52">
        <f t="shared" si="10"/>
        <v>46</v>
      </c>
      <c r="AC51" s="52">
        <f t="shared" si="11"/>
        <v>0</v>
      </c>
      <c r="AD51" s="54">
        <f t="shared" si="49"/>
        <v>0.15</v>
      </c>
      <c r="AE51" s="52">
        <f t="shared" si="12"/>
        <v>7350</v>
      </c>
      <c r="AF51" s="52">
        <f t="shared" si="33"/>
        <v>0</v>
      </c>
      <c r="AG51" s="52">
        <f t="shared" si="34"/>
        <v>0</v>
      </c>
      <c r="AH51" s="52">
        <f t="shared" si="13"/>
        <v>0</v>
      </c>
      <c r="AI51" s="53">
        <f t="shared" si="35"/>
        <v>0</v>
      </c>
      <c r="AK51" s="58">
        <f t="shared" si="36"/>
        <v>24</v>
      </c>
      <c r="AL51" s="52">
        <f t="shared" si="36"/>
        <v>46</v>
      </c>
      <c r="AM51" s="52">
        <f t="shared" si="14"/>
        <v>1</v>
      </c>
      <c r="AN51" s="54">
        <f t="shared" si="15"/>
        <v>0.13500000000000001</v>
      </c>
      <c r="AO51" s="54">
        <f t="shared" si="16"/>
        <v>0.18</v>
      </c>
      <c r="AP51" s="207">
        <f t="shared" si="37"/>
        <v>7350</v>
      </c>
      <c r="AQ51" s="52">
        <f t="shared" si="38"/>
        <v>40371.22215848929</v>
      </c>
      <c r="AR51" s="52">
        <f t="shared" si="39"/>
        <v>1102.5</v>
      </c>
      <c r="AS51" s="48">
        <f t="shared" si="40"/>
        <v>1614.8488863395717</v>
      </c>
      <c r="AT51" s="53">
        <f t="shared" si="41"/>
        <v>43088.571044828859</v>
      </c>
      <c r="AV51" s="58">
        <f t="shared" si="17"/>
        <v>24</v>
      </c>
      <c r="AW51" s="52">
        <f t="shared" si="17"/>
        <v>46</v>
      </c>
      <c r="AX51" s="48">
        <v>1</v>
      </c>
      <c r="AY51" s="54">
        <f t="shared" si="18"/>
        <v>0.13500000000000001</v>
      </c>
      <c r="AZ51" s="54">
        <f t="shared" si="19"/>
        <v>0.18</v>
      </c>
      <c r="BA51" s="207">
        <f t="shared" si="42"/>
        <v>7350</v>
      </c>
      <c r="BB51" s="52">
        <f t="shared" si="43"/>
        <v>40371.22215848929</v>
      </c>
      <c r="BC51" s="48">
        <f t="shared" si="44"/>
        <v>1102.5</v>
      </c>
      <c r="BD51" s="48">
        <f t="shared" si="45"/>
        <v>1614.8488863395717</v>
      </c>
      <c r="BE51" s="53">
        <f t="shared" si="46"/>
        <v>43088.571044828859</v>
      </c>
    </row>
    <row r="52" spans="2:57" ht="15.75" thickTop="1" thickBot="1">
      <c r="B52" s="58">
        <f t="shared" si="50"/>
        <v>25</v>
      </c>
      <c r="C52" s="52">
        <f t="shared" si="50"/>
        <v>46</v>
      </c>
      <c r="D52" s="185">
        <f t="shared" si="47"/>
        <v>1</v>
      </c>
      <c r="E52" s="48">
        <f t="shared" si="21"/>
        <v>700</v>
      </c>
      <c r="F52" s="205">
        <f t="shared" si="22"/>
        <v>10.5</v>
      </c>
      <c r="G52" s="192">
        <f t="shared" si="23"/>
        <v>7350</v>
      </c>
      <c r="I52" s="58">
        <f t="shared" si="24"/>
        <v>25</v>
      </c>
      <c r="J52" s="74">
        <f t="shared" si="25"/>
        <v>46</v>
      </c>
      <c r="K52" s="74">
        <f t="shared" si="3"/>
        <v>10.5</v>
      </c>
      <c r="L52" s="125">
        <f t="shared" si="26"/>
        <v>5250</v>
      </c>
      <c r="M52" s="74">
        <f t="shared" si="4"/>
        <v>2100</v>
      </c>
      <c r="N52" s="74">
        <f t="shared" si="27"/>
        <v>7350</v>
      </c>
      <c r="O52" s="180">
        <f t="shared" si="28"/>
        <v>700</v>
      </c>
      <c r="Q52" s="58">
        <f t="shared" si="5"/>
        <v>25</v>
      </c>
      <c r="R52" s="52">
        <f t="shared" si="6"/>
        <v>47</v>
      </c>
      <c r="S52" s="52">
        <f t="shared" si="7"/>
        <v>1</v>
      </c>
      <c r="T52" s="54">
        <f t="shared" si="48"/>
        <v>0.1</v>
      </c>
      <c r="U52" s="52">
        <f t="shared" si="8"/>
        <v>2100</v>
      </c>
      <c r="V52" s="52">
        <f t="shared" si="29"/>
        <v>8207.3468656816876</v>
      </c>
      <c r="W52" s="52">
        <f t="shared" si="30"/>
        <v>210</v>
      </c>
      <c r="X52" s="87">
        <f t="shared" si="31"/>
        <v>328.29387462726748</v>
      </c>
      <c r="Y52" s="53">
        <f t="shared" si="32"/>
        <v>8745.6407403089543</v>
      </c>
      <c r="AA52" s="58">
        <f t="shared" si="9"/>
        <v>25</v>
      </c>
      <c r="AB52" s="52">
        <f t="shared" si="10"/>
        <v>47</v>
      </c>
      <c r="AC52" s="52">
        <f t="shared" si="11"/>
        <v>0</v>
      </c>
      <c r="AD52" s="54">
        <f t="shared" si="49"/>
        <v>0.15</v>
      </c>
      <c r="AE52" s="52">
        <f t="shared" si="12"/>
        <v>7350</v>
      </c>
      <c r="AF52" s="52">
        <f t="shared" si="33"/>
        <v>0</v>
      </c>
      <c r="AG52" s="52">
        <f t="shared" si="34"/>
        <v>0</v>
      </c>
      <c r="AH52" s="52">
        <f t="shared" si="13"/>
        <v>0</v>
      </c>
      <c r="AI52" s="53">
        <f t="shared" si="35"/>
        <v>0</v>
      </c>
      <c r="AK52" s="58">
        <f t="shared" si="36"/>
        <v>25</v>
      </c>
      <c r="AL52" s="52">
        <f t="shared" si="36"/>
        <v>47</v>
      </c>
      <c r="AM52" s="52">
        <f t="shared" si="14"/>
        <v>1</v>
      </c>
      <c r="AN52" s="54">
        <f t="shared" si="15"/>
        <v>0.13500000000000001</v>
      </c>
      <c r="AO52" s="54">
        <f t="shared" si="16"/>
        <v>0.18</v>
      </c>
      <c r="AP52" s="207">
        <f t="shared" si="37"/>
        <v>7350</v>
      </c>
      <c r="AQ52" s="52">
        <f t="shared" si="38"/>
        <v>43088.571044828859</v>
      </c>
      <c r="AR52" s="52">
        <f t="shared" si="39"/>
        <v>1102.5</v>
      </c>
      <c r="AS52" s="48">
        <f t="shared" si="40"/>
        <v>1723.5428417931544</v>
      </c>
      <c r="AT52" s="53">
        <f t="shared" si="41"/>
        <v>45914.613886622014</v>
      </c>
      <c r="AV52" s="58">
        <f t="shared" si="17"/>
        <v>25</v>
      </c>
      <c r="AW52" s="52">
        <f t="shared" si="17"/>
        <v>47</v>
      </c>
      <c r="AX52" s="48">
        <v>1</v>
      </c>
      <c r="AY52" s="54">
        <f t="shared" si="18"/>
        <v>0.13500000000000001</v>
      </c>
      <c r="AZ52" s="54">
        <f t="shared" si="19"/>
        <v>0.18</v>
      </c>
      <c r="BA52" s="207">
        <f t="shared" si="42"/>
        <v>7350</v>
      </c>
      <c r="BB52" s="52">
        <f t="shared" si="43"/>
        <v>43088.571044828859</v>
      </c>
      <c r="BC52" s="48">
        <f t="shared" si="44"/>
        <v>1102.5</v>
      </c>
      <c r="BD52" s="48">
        <f t="shared" si="45"/>
        <v>1723.5428417931544</v>
      </c>
      <c r="BE52" s="53">
        <f t="shared" si="46"/>
        <v>45914.613886622014</v>
      </c>
    </row>
    <row r="53" spans="2:57" ht="15.75" thickTop="1" thickBot="1">
      <c r="B53" s="58">
        <f t="shared" si="50"/>
        <v>26</v>
      </c>
      <c r="C53" s="52">
        <f t="shared" si="50"/>
        <v>47</v>
      </c>
      <c r="D53" s="185">
        <f t="shared" si="47"/>
        <v>1</v>
      </c>
      <c r="E53" s="48">
        <f t="shared" si="21"/>
        <v>700</v>
      </c>
      <c r="F53" s="205">
        <f t="shared" si="22"/>
        <v>10.5</v>
      </c>
      <c r="G53" s="192">
        <f t="shared" si="23"/>
        <v>7350</v>
      </c>
      <c r="I53" s="58">
        <f t="shared" si="24"/>
        <v>26</v>
      </c>
      <c r="J53" s="74">
        <f t="shared" si="25"/>
        <v>47</v>
      </c>
      <c r="K53" s="74">
        <f t="shared" si="3"/>
        <v>10.5</v>
      </c>
      <c r="L53" s="125">
        <f t="shared" si="26"/>
        <v>5250</v>
      </c>
      <c r="M53" s="74">
        <f t="shared" si="4"/>
        <v>2100</v>
      </c>
      <c r="N53" s="74">
        <f t="shared" si="27"/>
        <v>7350</v>
      </c>
      <c r="O53" s="180">
        <f t="shared" si="28"/>
        <v>700</v>
      </c>
      <c r="Q53" s="58">
        <f t="shared" si="5"/>
        <v>26</v>
      </c>
      <c r="R53" s="52">
        <f t="shared" si="6"/>
        <v>48</v>
      </c>
      <c r="S53" s="52">
        <f t="shared" si="7"/>
        <v>1</v>
      </c>
      <c r="T53" s="54">
        <f t="shared" si="48"/>
        <v>0.1</v>
      </c>
      <c r="U53" s="52">
        <f t="shared" si="8"/>
        <v>2100</v>
      </c>
      <c r="V53" s="52">
        <f t="shared" si="29"/>
        <v>8745.6407403089543</v>
      </c>
      <c r="W53" s="52">
        <f t="shared" si="30"/>
        <v>210</v>
      </c>
      <c r="X53" s="87">
        <f t="shared" si="31"/>
        <v>349.82562961235817</v>
      </c>
      <c r="Y53" s="53">
        <f t="shared" si="32"/>
        <v>9305.4663699213124</v>
      </c>
      <c r="AA53" s="58">
        <f t="shared" si="9"/>
        <v>26</v>
      </c>
      <c r="AB53" s="52">
        <f t="shared" si="10"/>
        <v>48</v>
      </c>
      <c r="AC53" s="52">
        <f t="shared" si="11"/>
        <v>0</v>
      </c>
      <c r="AD53" s="54">
        <f t="shared" si="49"/>
        <v>0.15</v>
      </c>
      <c r="AE53" s="52">
        <f t="shared" si="12"/>
        <v>7350</v>
      </c>
      <c r="AF53" s="52">
        <f t="shared" si="33"/>
        <v>0</v>
      </c>
      <c r="AG53" s="52">
        <f t="shared" si="34"/>
        <v>0</v>
      </c>
      <c r="AH53" s="52">
        <f t="shared" si="13"/>
        <v>0</v>
      </c>
      <c r="AI53" s="53">
        <f t="shared" si="35"/>
        <v>0</v>
      </c>
      <c r="AK53" s="58">
        <f t="shared" si="36"/>
        <v>26</v>
      </c>
      <c r="AL53" s="52">
        <f t="shared" si="36"/>
        <v>48</v>
      </c>
      <c r="AM53" s="52">
        <f t="shared" si="14"/>
        <v>1</v>
      </c>
      <c r="AN53" s="54">
        <f t="shared" si="15"/>
        <v>0.13500000000000001</v>
      </c>
      <c r="AO53" s="54">
        <f t="shared" si="16"/>
        <v>0.18</v>
      </c>
      <c r="AP53" s="207">
        <f t="shared" si="37"/>
        <v>7350</v>
      </c>
      <c r="AQ53" s="52">
        <f t="shared" si="38"/>
        <v>45914.613886622014</v>
      </c>
      <c r="AR53" s="52">
        <f t="shared" si="39"/>
        <v>1102.5</v>
      </c>
      <c r="AS53" s="48">
        <f t="shared" si="40"/>
        <v>1836.5845554648806</v>
      </c>
      <c r="AT53" s="53">
        <f t="shared" si="41"/>
        <v>48853.698442086898</v>
      </c>
      <c r="AV53" s="58">
        <f t="shared" si="17"/>
        <v>26</v>
      </c>
      <c r="AW53" s="52">
        <f t="shared" si="17"/>
        <v>48</v>
      </c>
      <c r="AX53" s="48">
        <v>1</v>
      </c>
      <c r="AY53" s="54">
        <f t="shared" si="18"/>
        <v>0.13500000000000001</v>
      </c>
      <c r="AZ53" s="54">
        <f t="shared" si="19"/>
        <v>0.18</v>
      </c>
      <c r="BA53" s="207">
        <f t="shared" si="42"/>
        <v>7350</v>
      </c>
      <c r="BB53" s="52">
        <f t="shared" si="43"/>
        <v>45914.613886622014</v>
      </c>
      <c r="BC53" s="48">
        <f t="shared" si="44"/>
        <v>1102.5</v>
      </c>
      <c r="BD53" s="48">
        <f t="shared" si="45"/>
        <v>1836.5845554648806</v>
      </c>
      <c r="BE53" s="53">
        <f t="shared" si="46"/>
        <v>48853.698442086898</v>
      </c>
    </row>
    <row r="54" spans="2:57" ht="15.75" thickTop="1" thickBot="1">
      <c r="B54" s="58">
        <f t="shared" si="50"/>
        <v>27</v>
      </c>
      <c r="C54" s="52">
        <f t="shared" si="50"/>
        <v>48</v>
      </c>
      <c r="D54" s="185">
        <f t="shared" si="47"/>
        <v>1</v>
      </c>
      <c r="E54" s="48">
        <f t="shared" si="21"/>
        <v>700</v>
      </c>
      <c r="F54" s="205">
        <f t="shared" si="22"/>
        <v>10.5</v>
      </c>
      <c r="G54" s="192">
        <f t="shared" si="23"/>
        <v>7350</v>
      </c>
      <c r="I54" s="58">
        <f t="shared" si="24"/>
        <v>27</v>
      </c>
      <c r="J54" s="74">
        <f t="shared" si="25"/>
        <v>48</v>
      </c>
      <c r="K54" s="74">
        <f t="shared" si="3"/>
        <v>10.5</v>
      </c>
      <c r="L54" s="125">
        <f t="shared" si="26"/>
        <v>5250</v>
      </c>
      <c r="M54" s="74">
        <f t="shared" si="4"/>
        <v>2100</v>
      </c>
      <c r="N54" s="74">
        <f t="shared" si="27"/>
        <v>7350</v>
      </c>
      <c r="O54" s="180">
        <f t="shared" si="28"/>
        <v>700</v>
      </c>
      <c r="Q54" s="58">
        <f t="shared" si="5"/>
        <v>27</v>
      </c>
      <c r="R54" s="52">
        <f t="shared" si="6"/>
        <v>49</v>
      </c>
      <c r="S54" s="52">
        <f t="shared" si="7"/>
        <v>1</v>
      </c>
      <c r="T54" s="54">
        <f t="shared" si="48"/>
        <v>0.1</v>
      </c>
      <c r="U54" s="52">
        <f t="shared" si="8"/>
        <v>2100</v>
      </c>
      <c r="V54" s="52">
        <f t="shared" si="29"/>
        <v>9305.4663699213124</v>
      </c>
      <c r="W54" s="52">
        <f t="shared" si="30"/>
        <v>210</v>
      </c>
      <c r="X54" s="87">
        <f t="shared" si="31"/>
        <v>372.21865479685249</v>
      </c>
      <c r="Y54" s="53">
        <f t="shared" si="32"/>
        <v>9887.6850247181646</v>
      </c>
      <c r="AA54" s="58">
        <f t="shared" si="9"/>
        <v>27</v>
      </c>
      <c r="AB54" s="52">
        <f t="shared" si="10"/>
        <v>49</v>
      </c>
      <c r="AC54" s="52">
        <f t="shared" si="11"/>
        <v>0</v>
      </c>
      <c r="AD54" s="54">
        <f t="shared" si="49"/>
        <v>0.15</v>
      </c>
      <c r="AE54" s="52">
        <f t="shared" si="12"/>
        <v>7350</v>
      </c>
      <c r="AF54" s="52">
        <f t="shared" si="33"/>
        <v>0</v>
      </c>
      <c r="AG54" s="52">
        <f t="shared" si="34"/>
        <v>0</v>
      </c>
      <c r="AH54" s="52">
        <f t="shared" si="13"/>
        <v>0</v>
      </c>
      <c r="AI54" s="53">
        <f t="shared" si="35"/>
        <v>0</v>
      </c>
      <c r="AK54" s="58">
        <f t="shared" si="36"/>
        <v>27</v>
      </c>
      <c r="AL54" s="52">
        <f t="shared" si="36"/>
        <v>49</v>
      </c>
      <c r="AM54" s="52">
        <f t="shared" si="14"/>
        <v>1</v>
      </c>
      <c r="AN54" s="54">
        <f t="shared" si="15"/>
        <v>0.13500000000000001</v>
      </c>
      <c r="AO54" s="54">
        <f t="shared" si="16"/>
        <v>0.18</v>
      </c>
      <c r="AP54" s="207">
        <f t="shared" si="37"/>
        <v>7350</v>
      </c>
      <c r="AQ54" s="52">
        <f t="shared" si="38"/>
        <v>48853.698442086898</v>
      </c>
      <c r="AR54" s="52">
        <f t="shared" si="39"/>
        <v>1102.5</v>
      </c>
      <c r="AS54" s="48">
        <f t="shared" si="40"/>
        <v>1954.1479376834759</v>
      </c>
      <c r="AT54" s="53">
        <f t="shared" si="41"/>
        <v>51910.346379770373</v>
      </c>
      <c r="AV54" s="58">
        <f t="shared" si="17"/>
        <v>27</v>
      </c>
      <c r="AW54" s="52">
        <f t="shared" si="17"/>
        <v>49</v>
      </c>
      <c r="AX54" s="48">
        <v>1</v>
      </c>
      <c r="AY54" s="54">
        <f t="shared" si="18"/>
        <v>0.13500000000000001</v>
      </c>
      <c r="AZ54" s="54">
        <f t="shared" si="19"/>
        <v>0.18</v>
      </c>
      <c r="BA54" s="207">
        <f t="shared" si="42"/>
        <v>7350</v>
      </c>
      <c r="BB54" s="52">
        <f t="shared" si="43"/>
        <v>48853.698442086898</v>
      </c>
      <c r="BC54" s="48">
        <f t="shared" si="44"/>
        <v>1102.5</v>
      </c>
      <c r="BD54" s="48">
        <f t="shared" si="45"/>
        <v>1954.1479376834759</v>
      </c>
      <c r="BE54" s="53">
        <f t="shared" si="46"/>
        <v>51910.346379770373</v>
      </c>
    </row>
    <row r="55" spans="2:57" ht="15.75" thickTop="1" thickBot="1">
      <c r="B55" s="58">
        <f t="shared" si="50"/>
        <v>28</v>
      </c>
      <c r="C55" s="52">
        <f t="shared" si="50"/>
        <v>49</v>
      </c>
      <c r="D55" s="185">
        <f t="shared" si="47"/>
        <v>1</v>
      </c>
      <c r="E55" s="48">
        <f t="shared" si="21"/>
        <v>700</v>
      </c>
      <c r="F55" s="205">
        <f t="shared" si="22"/>
        <v>10.5</v>
      </c>
      <c r="G55" s="192">
        <f t="shared" si="23"/>
        <v>7350</v>
      </c>
      <c r="I55" s="58">
        <f t="shared" si="24"/>
        <v>28</v>
      </c>
      <c r="J55" s="74">
        <f t="shared" si="25"/>
        <v>49</v>
      </c>
      <c r="K55" s="74">
        <f t="shared" si="3"/>
        <v>10.5</v>
      </c>
      <c r="L55" s="125">
        <f t="shared" si="26"/>
        <v>5250</v>
      </c>
      <c r="M55" s="74">
        <f t="shared" si="4"/>
        <v>2100</v>
      </c>
      <c r="N55" s="74">
        <f t="shared" si="27"/>
        <v>7350</v>
      </c>
      <c r="O55" s="180">
        <f t="shared" si="28"/>
        <v>700</v>
      </c>
      <c r="Q55" s="58">
        <f t="shared" si="5"/>
        <v>28</v>
      </c>
      <c r="R55" s="52">
        <f t="shared" si="6"/>
        <v>50</v>
      </c>
      <c r="S55" s="52">
        <f t="shared" si="7"/>
        <v>1</v>
      </c>
      <c r="T55" s="54">
        <f t="shared" si="48"/>
        <v>0.1</v>
      </c>
      <c r="U55" s="52">
        <f t="shared" si="8"/>
        <v>2100</v>
      </c>
      <c r="V55" s="52">
        <f t="shared" si="29"/>
        <v>9887.6850247181646</v>
      </c>
      <c r="W55" s="52">
        <f t="shared" si="30"/>
        <v>210</v>
      </c>
      <c r="X55" s="87">
        <f t="shared" si="31"/>
        <v>395.5074009887266</v>
      </c>
      <c r="Y55" s="53">
        <f t="shared" si="32"/>
        <v>10493.192425706891</v>
      </c>
      <c r="AA55" s="58">
        <f t="shared" si="9"/>
        <v>28</v>
      </c>
      <c r="AB55" s="52">
        <f t="shared" si="10"/>
        <v>50</v>
      </c>
      <c r="AC55" s="52">
        <f t="shared" si="11"/>
        <v>0</v>
      </c>
      <c r="AD55" s="54">
        <f t="shared" si="49"/>
        <v>0.15</v>
      </c>
      <c r="AE55" s="52">
        <f t="shared" si="12"/>
        <v>7350</v>
      </c>
      <c r="AF55" s="52">
        <f t="shared" si="33"/>
        <v>0</v>
      </c>
      <c r="AG55" s="52">
        <f t="shared" si="34"/>
        <v>0</v>
      </c>
      <c r="AH55" s="52">
        <f t="shared" si="13"/>
        <v>0</v>
      </c>
      <c r="AI55" s="53">
        <f t="shared" si="35"/>
        <v>0</v>
      </c>
      <c r="AK55" s="58">
        <f t="shared" si="36"/>
        <v>28</v>
      </c>
      <c r="AL55" s="52">
        <f t="shared" si="36"/>
        <v>50</v>
      </c>
      <c r="AM55" s="52">
        <f t="shared" si="14"/>
        <v>1</v>
      </c>
      <c r="AN55" s="54">
        <f t="shared" si="15"/>
        <v>0.13500000000000001</v>
      </c>
      <c r="AO55" s="54">
        <f t="shared" si="16"/>
        <v>0.18</v>
      </c>
      <c r="AP55" s="207">
        <f t="shared" si="37"/>
        <v>7350</v>
      </c>
      <c r="AQ55" s="52">
        <f t="shared" si="38"/>
        <v>51910.346379770373</v>
      </c>
      <c r="AR55" s="52">
        <f t="shared" si="39"/>
        <v>1102.5</v>
      </c>
      <c r="AS55" s="48">
        <f t="shared" si="40"/>
        <v>2076.413855190815</v>
      </c>
      <c r="AT55" s="53">
        <f t="shared" si="41"/>
        <v>55089.260234961192</v>
      </c>
      <c r="AV55" s="58">
        <f t="shared" si="17"/>
        <v>28</v>
      </c>
      <c r="AW55" s="52">
        <f t="shared" si="17"/>
        <v>50</v>
      </c>
      <c r="AX55" s="48">
        <v>1</v>
      </c>
      <c r="AY55" s="54">
        <f t="shared" si="18"/>
        <v>0.13500000000000001</v>
      </c>
      <c r="AZ55" s="54">
        <f t="shared" si="19"/>
        <v>0.18</v>
      </c>
      <c r="BA55" s="207">
        <f t="shared" si="42"/>
        <v>7350</v>
      </c>
      <c r="BB55" s="52">
        <f t="shared" si="43"/>
        <v>51910.346379770373</v>
      </c>
      <c r="BC55" s="48">
        <f t="shared" si="44"/>
        <v>1102.5</v>
      </c>
      <c r="BD55" s="48">
        <f t="shared" si="45"/>
        <v>2076.413855190815</v>
      </c>
      <c r="BE55" s="53">
        <f t="shared" si="46"/>
        <v>55089.260234961192</v>
      </c>
    </row>
    <row r="56" spans="2:57" ht="15.75" thickTop="1" thickBot="1">
      <c r="B56" s="58">
        <f t="shared" si="50"/>
        <v>29</v>
      </c>
      <c r="C56" s="52">
        <f t="shared" si="50"/>
        <v>50</v>
      </c>
      <c r="D56" s="185">
        <f t="shared" si="47"/>
        <v>1</v>
      </c>
      <c r="E56" s="48">
        <f t="shared" si="21"/>
        <v>700</v>
      </c>
      <c r="F56" s="205">
        <f t="shared" si="22"/>
        <v>10.5</v>
      </c>
      <c r="G56" s="192">
        <f t="shared" si="23"/>
        <v>7350</v>
      </c>
      <c r="I56" s="58">
        <f t="shared" si="24"/>
        <v>29</v>
      </c>
      <c r="J56" s="74">
        <f t="shared" si="25"/>
        <v>50</v>
      </c>
      <c r="K56" s="74">
        <f t="shared" si="3"/>
        <v>10.5</v>
      </c>
      <c r="L56" s="125">
        <f t="shared" si="26"/>
        <v>5250</v>
      </c>
      <c r="M56" s="74">
        <f t="shared" si="4"/>
        <v>2100</v>
      </c>
      <c r="N56" s="74">
        <f t="shared" si="27"/>
        <v>7350</v>
      </c>
      <c r="O56" s="180">
        <f t="shared" si="28"/>
        <v>700</v>
      </c>
      <c r="Q56" s="58">
        <f t="shared" si="5"/>
        <v>29</v>
      </c>
      <c r="R56" s="52">
        <f t="shared" si="6"/>
        <v>51</v>
      </c>
      <c r="S56" s="52">
        <f t="shared" si="7"/>
        <v>1</v>
      </c>
      <c r="T56" s="54">
        <f t="shared" si="48"/>
        <v>0.1</v>
      </c>
      <c r="U56" s="52">
        <f t="shared" si="8"/>
        <v>2100</v>
      </c>
      <c r="V56" s="52">
        <f t="shared" si="29"/>
        <v>10493.192425706891</v>
      </c>
      <c r="W56" s="52">
        <f t="shared" si="30"/>
        <v>210</v>
      </c>
      <c r="X56" s="87">
        <f t="shared" si="31"/>
        <v>419.72769702827566</v>
      </c>
      <c r="Y56" s="53">
        <f t="shared" si="32"/>
        <v>11122.920122735168</v>
      </c>
      <c r="AA56" s="58">
        <f t="shared" si="9"/>
        <v>29</v>
      </c>
      <c r="AB56" s="52">
        <f t="shared" si="10"/>
        <v>51</v>
      </c>
      <c r="AC56" s="52">
        <f t="shared" si="11"/>
        <v>0</v>
      </c>
      <c r="AD56" s="54">
        <f t="shared" si="49"/>
        <v>0.15</v>
      </c>
      <c r="AE56" s="52">
        <f t="shared" si="12"/>
        <v>7350</v>
      </c>
      <c r="AF56" s="52">
        <f t="shared" si="33"/>
        <v>0</v>
      </c>
      <c r="AG56" s="52">
        <f t="shared" si="34"/>
        <v>0</v>
      </c>
      <c r="AH56" s="52">
        <f t="shared" si="13"/>
        <v>0</v>
      </c>
      <c r="AI56" s="53">
        <f t="shared" si="35"/>
        <v>0</v>
      </c>
      <c r="AK56" s="58">
        <f t="shared" si="36"/>
        <v>29</v>
      </c>
      <c r="AL56" s="52">
        <f t="shared" si="36"/>
        <v>51</v>
      </c>
      <c r="AM56" s="52">
        <f t="shared" si="14"/>
        <v>1</v>
      </c>
      <c r="AN56" s="54">
        <f t="shared" si="15"/>
        <v>0.13500000000000001</v>
      </c>
      <c r="AO56" s="54">
        <f t="shared" si="16"/>
        <v>0.18</v>
      </c>
      <c r="AP56" s="207">
        <f t="shared" si="37"/>
        <v>7350</v>
      </c>
      <c r="AQ56" s="52">
        <f t="shared" si="38"/>
        <v>55089.260234961192</v>
      </c>
      <c r="AR56" s="52">
        <f t="shared" si="39"/>
        <v>1102.5</v>
      </c>
      <c r="AS56" s="48">
        <f t="shared" si="40"/>
        <v>2203.5704093984477</v>
      </c>
      <c r="AT56" s="53">
        <f t="shared" si="41"/>
        <v>58395.330644359638</v>
      </c>
      <c r="AV56" s="58">
        <f t="shared" si="17"/>
        <v>29</v>
      </c>
      <c r="AW56" s="52">
        <f t="shared" si="17"/>
        <v>51</v>
      </c>
      <c r="AX56" s="48">
        <v>1</v>
      </c>
      <c r="AY56" s="54">
        <f t="shared" si="18"/>
        <v>0.13500000000000001</v>
      </c>
      <c r="AZ56" s="54">
        <f t="shared" si="19"/>
        <v>0.18</v>
      </c>
      <c r="BA56" s="207">
        <f t="shared" si="42"/>
        <v>7350</v>
      </c>
      <c r="BB56" s="52">
        <f t="shared" si="43"/>
        <v>55089.260234961192</v>
      </c>
      <c r="BC56" s="48">
        <f t="shared" si="44"/>
        <v>1102.5</v>
      </c>
      <c r="BD56" s="48">
        <f t="shared" si="45"/>
        <v>2203.5704093984477</v>
      </c>
      <c r="BE56" s="53">
        <f t="shared" si="46"/>
        <v>58395.330644359638</v>
      </c>
    </row>
    <row r="57" spans="2:57" ht="15.75" thickTop="1" thickBot="1">
      <c r="B57" s="58">
        <f t="shared" si="50"/>
        <v>30</v>
      </c>
      <c r="C57" s="52">
        <f t="shared" si="50"/>
        <v>51</v>
      </c>
      <c r="D57" s="185">
        <f t="shared" si="47"/>
        <v>1</v>
      </c>
      <c r="E57" s="48">
        <f t="shared" si="21"/>
        <v>700</v>
      </c>
      <c r="F57" s="205">
        <f t="shared" si="22"/>
        <v>10.5</v>
      </c>
      <c r="G57" s="192">
        <f t="shared" si="23"/>
        <v>7350</v>
      </c>
      <c r="I57" s="58">
        <f t="shared" si="24"/>
        <v>30</v>
      </c>
      <c r="J57" s="74">
        <f t="shared" si="25"/>
        <v>51</v>
      </c>
      <c r="K57" s="74">
        <f t="shared" si="3"/>
        <v>10.5</v>
      </c>
      <c r="L57" s="125">
        <f t="shared" si="26"/>
        <v>5250</v>
      </c>
      <c r="M57" s="74">
        <f t="shared" si="4"/>
        <v>2100</v>
      </c>
      <c r="N57" s="74">
        <f t="shared" si="27"/>
        <v>7350</v>
      </c>
      <c r="O57" s="180">
        <f t="shared" si="28"/>
        <v>700</v>
      </c>
      <c r="Q57" s="58">
        <f t="shared" si="5"/>
        <v>30</v>
      </c>
      <c r="R57" s="52">
        <f t="shared" si="6"/>
        <v>52</v>
      </c>
      <c r="S57" s="52">
        <f t="shared" si="7"/>
        <v>1</v>
      </c>
      <c r="T57" s="54">
        <f t="shared" si="48"/>
        <v>0.1</v>
      </c>
      <c r="U57" s="52">
        <f t="shared" si="8"/>
        <v>2100</v>
      </c>
      <c r="V57" s="52">
        <f t="shared" si="29"/>
        <v>11122.920122735168</v>
      </c>
      <c r="W57" s="52">
        <f t="shared" si="30"/>
        <v>210</v>
      </c>
      <c r="X57" s="87">
        <f t="shared" si="31"/>
        <v>444.91680490940672</v>
      </c>
      <c r="Y57" s="53">
        <f t="shared" si="32"/>
        <v>11777.836927644574</v>
      </c>
      <c r="AA57" s="58">
        <f t="shared" si="9"/>
        <v>30</v>
      </c>
      <c r="AB57" s="52">
        <f t="shared" si="10"/>
        <v>52</v>
      </c>
      <c r="AC57" s="52">
        <f t="shared" si="11"/>
        <v>0</v>
      </c>
      <c r="AD57" s="54">
        <f t="shared" si="49"/>
        <v>0.15</v>
      </c>
      <c r="AE57" s="52">
        <f t="shared" si="12"/>
        <v>7350</v>
      </c>
      <c r="AF57" s="52">
        <f t="shared" si="33"/>
        <v>0</v>
      </c>
      <c r="AG57" s="52">
        <f t="shared" si="34"/>
        <v>0</v>
      </c>
      <c r="AH57" s="52">
        <f t="shared" si="13"/>
        <v>0</v>
      </c>
      <c r="AI57" s="53">
        <f t="shared" si="35"/>
        <v>0</v>
      </c>
      <c r="AK57" s="58">
        <f t="shared" si="36"/>
        <v>30</v>
      </c>
      <c r="AL57" s="52">
        <f t="shared" si="36"/>
        <v>52</v>
      </c>
      <c r="AM57" s="52">
        <f t="shared" si="14"/>
        <v>1</v>
      </c>
      <c r="AN57" s="54">
        <f t="shared" si="15"/>
        <v>0.13500000000000001</v>
      </c>
      <c r="AO57" s="54">
        <f t="shared" si="16"/>
        <v>0.18</v>
      </c>
      <c r="AP57" s="207">
        <f t="shared" si="37"/>
        <v>7350</v>
      </c>
      <c r="AQ57" s="52">
        <f t="shared" si="38"/>
        <v>58395.330644359638</v>
      </c>
      <c r="AR57" s="52">
        <f t="shared" si="39"/>
        <v>1102.5</v>
      </c>
      <c r="AS57" s="48">
        <f t="shared" si="40"/>
        <v>2335.8132257743855</v>
      </c>
      <c r="AT57" s="53">
        <f t="shared" si="41"/>
        <v>61833.643870134023</v>
      </c>
      <c r="AV57" s="58">
        <f t="shared" si="17"/>
        <v>30</v>
      </c>
      <c r="AW57" s="52">
        <f t="shared" si="17"/>
        <v>52</v>
      </c>
      <c r="AX57" s="48">
        <v>1</v>
      </c>
      <c r="AY57" s="54">
        <f t="shared" si="18"/>
        <v>0.13500000000000001</v>
      </c>
      <c r="AZ57" s="54">
        <f t="shared" si="19"/>
        <v>0.18</v>
      </c>
      <c r="BA57" s="207">
        <f t="shared" si="42"/>
        <v>7350</v>
      </c>
      <c r="BB57" s="52">
        <f t="shared" si="43"/>
        <v>58395.330644359638</v>
      </c>
      <c r="BC57" s="48">
        <f t="shared" si="44"/>
        <v>1102.5</v>
      </c>
      <c r="BD57" s="48">
        <f t="shared" si="45"/>
        <v>2335.8132257743855</v>
      </c>
      <c r="BE57" s="53">
        <f t="shared" si="46"/>
        <v>61833.643870134023</v>
      </c>
    </row>
    <row r="58" spans="2:57" ht="15.75" thickTop="1" thickBot="1">
      <c r="B58" s="58">
        <f t="shared" si="50"/>
        <v>31</v>
      </c>
      <c r="C58" s="52">
        <f t="shared" si="50"/>
        <v>52</v>
      </c>
      <c r="D58" s="185">
        <f t="shared" si="47"/>
        <v>1</v>
      </c>
      <c r="E58" s="48">
        <f t="shared" si="21"/>
        <v>700</v>
      </c>
      <c r="F58" s="205">
        <f t="shared" si="22"/>
        <v>10.5</v>
      </c>
      <c r="G58" s="192">
        <f t="shared" si="23"/>
        <v>7350</v>
      </c>
      <c r="I58" s="58">
        <f t="shared" si="24"/>
        <v>31</v>
      </c>
      <c r="J58" s="74">
        <f t="shared" si="25"/>
        <v>52</v>
      </c>
      <c r="K58" s="74">
        <f t="shared" si="3"/>
        <v>10.5</v>
      </c>
      <c r="L58" s="125">
        <f t="shared" si="26"/>
        <v>5250</v>
      </c>
      <c r="M58" s="74">
        <f t="shared" si="4"/>
        <v>2100</v>
      </c>
      <c r="N58" s="74">
        <f t="shared" si="27"/>
        <v>7350</v>
      </c>
      <c r="O58" s="180">
        <f t="shared" si="28"/>
        <v>700</v>
      </c>
      <c r="Q58" s="58">
        <f t="shared" si="5"/>
        <v>31</v>
      </c>
      <c r="R58" s="52">
        <f t="shared" si="6"/>
        <v>53</v>
      </c>
      <c r="S58" s="52">
        <f t="shared" si="7"/>
        <v>1</v>
      </c>
      <c r="T58" s="54">
        <f t="shared" si="48"/>
        <v>0.1</v>
      </c>
      <c r="U58" s="52">
        <f t="shared" si="8"/>
        <v>2100</v>
      </c>
      <c r="V58" s="52">
        <f t="shared" si="29"/>
        <v>11777.836927644574</v>
      </c>
      <c r="W58" s="52">
        <f t="shared" si="30"/>
        <v>210</v>
      </c>
      <c r="X58" s="87">
        <f t="shared" si="31"/>
        <v>471.11347710578298</v>
      </c>
      <c r="Y58" s="53">
        <f t="shared" si="32"/>
        <v>12458.950404750356</v>
      </c>
      <c r="AA58" s="58">
        <f t="shared" si="9"/>
        <v>31</v>
      </c>
      <c r="AB58" s="52">
        <f t="shared" si="10"/>
        <v>53</v>
      </c>
      <c r="AC58" s="52">
        <f t="shared" si="11"/>
        <v>0</v>
      </c>
      <c r="AD58" s="54">
        <f t="shared" si="49"/>
        <v>0.15</v>
      </c>
      <c r="AE58" s="52">
        <f t="shared" si="12"/>
        <v>7350</v>
      </c>
      <c r="AF58" s="52">
        <f t="shared" si="33"/>
        <v>0</v>
      </c>
      <c r="AG58" s="52">
        <f t="shared" si="34"/>
        <v>0</v>
      </c>
      <c r="AH58" s="52">
        <f t="shared" si="13"/>
        <v>0</v>
      </c>
      <c r="AI58" s="53">
        <f t="shared" si="35"/>
        <v>0</v>
      </c>
      <c r="AK58" s="58">
        <f t="shared" si="36"/>
        <v>31</v>
      </c>
      <c r="AL58" s="52">
        <f t="shared" si="36"/>
        <v>53</v>
      </c>
      <c r="AM58" s="52">
        <f t="shared" si="14"/>
        <v>1</v>
      </c>
      <c r="AN58" s="54">
        <f t="shared" si="15"/>
        <v>0.13500000000000001</v>
      </c>
      <c r="AO58" s="54">
        <f t="shared" si="16"/>
        <v>0.18</v>
      </c>
      <c r="AP58" s="207">
        <f t="shared" si="37"/>
        <v>7350</v>
      </c>
      <c r="AQ58" s="52">
        <f t="shared" si="38"/>
        <v>61833.643870134023</v>
      </c>
      <c r="AR58" s="52">
        <f t="shared" si="39"/>
        <v>1102.5</v>
      </c>
      <c r="AS58" s="48">
        <f t="shared" si="40"/>
        <v>2473.3457548053611</v>
      </c>
      <c r="AT58" s="53">
        <f t="shared" si="41"/>
        <v>65409.489624939386</v>
      </c>
      <c r="AV58" s="58">
        <f t="shared" si="17"/>
        <v>31</v>
      </c>
      <c r="AW58" s="52">
        <f t="shared" si="17"/>
        <v>53</v>
      </c>
      <c r="AX58" s="48">
        <v>1</v>
      </c>
      <c r="AY58" s="54">
        <f t="shared" si="18"/>
        <v>0.13500000000000001</v>
      </c>
      <c r="AZ58" s="54">
        <f t="shared" si="19"/>
        <v>0.18</v>
      </c>
      <c r="BA58" s="207">
        <f t="shared" si="42"/>
        <v>7350</v>
      </c>
      <c r="BB58" s="52">
        <f t="shared" si="43"/>
        <v>61833.643870134023</v>
      </c>
      <c r="BC58" s="48">
        <f t="shared" si="44"/>
        <v>1102.5</v>
      </c>
      <c r="BD58" s="48">
        <f t="shared" si="45"/>
        <v>2473.3457548053611</v>
      </c>
      <c r="BE58" s="53">
        <f t="shared" si="46"/>
        <v>65409.489624939386</v>
      </c>
    </row>
    <row r="59" spans="2:57" ht="15.75" thickTop="1" thickBot="1">
      <c r="B59" s="124">
        <f t="shared" si="50"/>
        <v>32</v>
      </c>
      <c r="C59" s="125">
        <f t="shared" si="50"/>
        <v>53</v>
      </c>
      <c r="D59" s="185">
        <f t="shared" si="47"/>
        <v>1</v>
      </c>
      <c r="E59" s="48">
        <f t="shared" si="21"/>
        <v>700</v>
      </c>
      <c r="F59" s="205">
        <f t="shared" si="22"/>
        <v>10.5</v>
      </c>
      <c r="G59" s="192">
        <f t="shared" si="23"/>
        <v>7350</v>
      </c>
      <c r="I59" s="58">
        <f t="shared" si="24"/>
        <v>32</v>
      </c>
      <c r="J59" s="74">
        <f t="shared" si="25"/>
        <v>53</v>
      </c>
      <c r="K59" s="74">
        <f t="shared" si="3"/>
        <v>10.5</v>
      </c>
      <c r="L59" s="125">
        <f t="shared" si="26"/>
        <v>5250</v>
      </c>
      <c r="M59" s="74">
        <f t="shared" si="4"/>
        <v>2100</v>
      </c>
      <c r="N59" s="74">
        <f t="shared" si="27"/>
        <v>7350</v>
      </c>
      <c r="O59" s="180">
        <f t="shared" si="28"/>
        <v>700</v>
      </c>
      <c r="Q59" s="58">
        <f t="shared" si="5"/>
        <v>32</v>
      </c>
      <c r="R59" s="52">
        <f t="shared" si="6"/>
        <v>54</v>
      </c>
      <c r="S59" s="52">
        <f t="shared" si="7"/>
        <v>1</v>
      </c>
      <c r="T59" s="54">
        <f t="shared" si="48"/>
        <v>0.1</v>
      </c>
      <c r="U59" s="52">
        <f t="shared" si="8"/>
        <v>2100</v>
      </c>
      <c r="V59" s="52">
        <f t="shared" si="29"/>
        <v>12458.950404750356</v>
      </c>
      <c r="W59" s="52">
        <f t="shared" si="30"/>
        <v>210</v>
      </c>
      <c r="X59" s="87">
        <f t="shared" si="31"/>
        <v>498.35801619001427</v>
      </c>
      <c r="Y59" s="53">
        <f t="shared" si="32"/>
        <v>13167.30842094037</v>
      </c>
      <c r="AA59" s="58">
        <f t="shared" si="9"/>
        <v>32</v>
      </c>
      <c r="AB59" s="52">
        <f t="shared" si="10"/>
        <v>54</v>
      </c>
      <c r="AC59" s="52">
        <f t="shared" si="11"/>
        <v>0</v>
      </c>
      <c r="AD59" s="54">
        <f t="shared" si="49"/>
        <v>0.15</v>
      </c>
      <c r="AE59" s="52">
        <f t="shared" si="12"/>
        <v>7350</v>
      </c>
      <c r="AF59" s="52">
        <f t="shared" si="33"/>
        <v>0</v>
      </c>
      <c r="AG59" s="52">
        <f t="shared" si="34"/>
        <v>0</v>
      </c>
      <c r="AH59" s="52">
        <f t="shared" si="13"/>
        <v>0</v>
      </c>
      <c r="AI59" s="53">
        <f t="shared" si="35"/>
        <v>0</v>
      </c>
      <c r="AK59" s="58">
        <f t="shared" si="36"/>
        <v>32</v>
      </c>
      <c r="AL59" s="52">
        <f t="shared" si="36"/>
        <v>54</v>
      </c>
      <c r="AM59" s="52">
        <f t="shared" si="14"/>
        <v>1</v>
      </c>
      <c r="AN59" s="54">
        <f t="shared" si="15"/>
        <v>0.13500000000000001</v>
      </c>
      <c r="AO59" s="54">
        <f t="shared" si="16"/>
        <v>0.18</v>
      </c>
      <c r="AP59" s="207">
        <f t="shared" si="37"/>
        <v>7350</v>
      </c>
      <c r="AQ59" s="52">
        <f t="shared" si="38"/>
        <v>65409.489624939386</v>
      </c>
      <c r="AR59" s="52">
        <f t="shared" si="39"/>
        <v>1102.5</v>
      </c>
      <c r="AS59" s="48">
        <f t="shared" si="40"/>
        <v>2616.3795849975754</v>
      </c>
      <c r="AT59" s="53">
        <f t="shared" si="41"/>
        <v>69128.369209936965</v>
      </c>
      <c r="AV59" s="58">
        <f t="shared" si="17"/>
        <v>32</v>
      </c>
      <c r="AW59" s="52">
        <f t="shared" si="17"/>
        <v>54</v>
      </c>
      <c r="AX59" s="48">
        <v>1</v>
      </c>
      <c r="AY59" s="54">
        <f t="shared" si="18"/>
        <v>0.13500000000000001</v>
      </c>
      <c r="AZ59" s="54">
        <f t="shared" si="19"/>
        <v>0.18</v>
      </c>
      <c r="BA59" s="207">
        <f t="shared" si="42"/>
        <v>7350</v>
      </c>
      <c r="BB59" s="52">
        <f t="shared" si="43"/>
        <v>65409.489624939386</v>
      </c>
      <c r="BC59" s="48">
        <f t="shared" si="44"/>
        <v>1102.5</v>
      </c>
      <c r="BD59" s="48">
        <f t="shared" si="45"/>
        <v>2616.3795849975754</v>
      </c>
      <c r="BE59" s="53">
        <f t="shared" si="46"/>
        <v>69128.369209936965</v>
      </c>
    </row>
    <row r="60" spans="2:57" ht="15.75" thickTop="1" thickBot="1">
      <c r="B60" s="124">
        <f t="shared" si="50"/>
        <v>33</v>
      </c>
      <c r="C60" s="125">
        <f t="shared" si="50"/>
        <v>54</v>
      </c>
      <c r="D60" s="185">
        <f t="shared" si="47"/>
        <v>1</v>
      </c>
      <c r="E60" s="48">
        <f t="shared" si="21"/>
        <v>700</v>
      </c>
      <c r="F60" s="205">
        <f t="shared" si="22"/>
        <v>10.5</v>
      </c>
      <c r="G60" s="192">
        <f t="shared" si="23"/>
        <v>7350</v>
      </c>
      <c r="I60" s="124">
        <f t="shared" si="24"/>
        <v>33</v>
      </c>
      <c r="J60" s="129">
        <f t="shared" si="25"/>
        <v>54</v>
      </c>
      <c r="K60" s="129">
        <f t="shared" si="3"/>
        <v>10.5</v>
      </c>
      <c r="L60" s="125">
        <f t="shared" si="26"/>
        <v>5250</v>
      </c>
      <c r="M60" s="74">
        <f t="shared" si="4"/>
        <v>2100</v>
      </c>
      <c r="N60" s="74">
        <f t="shared" si="27"/>
        <v>7350</v>
      </c>
      <c r="O60" s="180">
        <f t="shared" si="28"/>
        <v>700</v>
      </c>
      <c r="Q60" s="124">
        <f t="shared" si="5"/>
        <v>33</v>
      </c>
      <c r="R60" s="125">
        <f t="shared" si="6"/>
        <v>55</v>
      </c>
      <c r="S60" s="52">
        <f t="shared" si="7"/>
        <v>1</v>
      </c>
      <c r="T60" s="126">
        <f t="shared" si="48"/>
        <v>0.1</v>
      </c>
      <c r="U60" s="52">
        <f t="shared" si="8"/>
        <v>2100</v>
      </c>
      <c r="V60" s="125">
        <f t="shared" si="29"/>
        <v>13167.30842094037</v>
      </c>
      <c r="W60" s="52">
        <f t="shared" si="30"/>
        <v>210</v>
      </c>
      <c r="X60" s="87">
        <f t="shared" si="31"/>
        <v>526.69233683761479</v>
      </c>
      <c r="Y60" s="128">
        <f t="shared" si="32"/>
        <v>13904.000757777985</v>
      </c>
      <c r="AA60" s="124">
        <f t="shared" si="9"/>
        <v>33</v>
      </c>
      <c r="AB60" s="125">
        <f t="shared" si="10"/>
        <v>55</v>
      </c>
      <c r="AC60" s="125">
        <f t="shared" si="11"/>
        <v>0</v>
      </c>
      <c r="AD60" s="126">
        <f t="shared" si="49"/>
        <v>0.15</v>
      </c>
      <c r="AE60" s="125">
        <f t="shared" si="12"/>
        <v>7350</v>
      </c>
      <c r="AF60" s="125">
        <f t="shared" si="33"/>
        <v>0</v>
      </c>
      <c r="AG60" s="125">
        <f t="shared" si="34"/>
        <v>0</v>
      </c>
      <c r="AH60" s="125">
        <f t="shared" si="13"/>
        <v>0</v>
      </c>
      <c r="AI60" s="128">
        <f t="shared" si="35"/>
        <v>0</v>
      </c>
      <c r="AK60" s="124">
        <f t="shared" si="36"/>
        <v>33</v>
      </c>
      <c r="AL60" s="125">
        <f t="shared" si="36"/>
        <v>55</v>
      </c>
      <c r="AM60" s="125">
        <f t="shared" si="14"/>
        <v>1</v>
      </c>
      <c r="AN60" s="126">
        <f t="shared" si="15"/>
        <v>0.13500000000000001</v>
      </c>
      <c r="AO60" s="126">
        <f t="shared" si="16"/>
        <v>0.18</v>
      </c>
      <c r="AP60" s="207">
        <f t="shared" si="37"/>
        <v>7350</v>
      </c>
      <c r="AQ60" s="125">
        <f t="shared" si="38"/>
        <v>69128.369209936965</v>
      </c>
      <c r="AR60" s="52">
        <f t="shared" si="39"/>
        <v>1102.5</v>
      </c>
      <c r="AS60" s="48">
        <f t="shared" si="40"/>
        <v>2765.1347683974786</v>
      </c>
      <c r="AT60" s="128">
        <f t="shared" si="41"/>
        <v>72996.00397833444</v>
      </c>
      <c r="AV60" s="124">
        <f t="shared" ref="AV60:AW76" si="51">+AK60</f>
        <v>33</v>
      </c>
      <c r="AW60" s="125">
        <f t="shared" si="51"/>
        <v>55</v>
      </c>
      <c r="AX60" s="48">
        <v>1</v>
      </c>
      <c r="AY60" s="126">
        <f t="shared" si="18"/>
        <v>0.13500000000000001</v>
      </c>
      <c r="AZ60" s="126">
        <f t="shared" si="19"/>
        <v>0.18</v>
      </c>
      <c r="BA60" s="207">
        <f t="shared" si="42"/>
        <v>7350</v>
      </c>
      <c r="BB60" s="125">
        <f t="shared" si="43"/>
        <v>69128.369209936965</v>
      </c>
      <c r="BC60" s="48">
        <f t="shared" si="44"/>
        <v>1102.5</v>
      </c>
      <c r="BD60" s="48">
        <f t="shared" si="45"/>
        <v>2765.1347683974786</v>
      </c>
      <c r="BE60" s="128">
        <f t="shared" si="46"/>
        <v>72996.00397833444</v>
      </c>
    </row>
    <row r="61" spans="2:57" ht="15.75" thickTop="1" thickBot="1">
      <c r="B61" s="58">
        <f t="shared" ref="B61:C76" si="52">+B60+1</f>
        <v>34</v>
      </c>
      <c r="C61" s="52">
        <f t="shared" si="52"/>
        <v>55</v>
      </c>
      <c r="D61" s="185">
        <f t="shared" si="47"/>
        <v>1</v>
      </c>
      <c r="E61" s="48">
        <f t="shared" si="21"/>
        <v>700</v>
      </c>
      <c r="F61" s="205">
        <f t="shared" si="22"/>
        <v>10.5</v>
      </c>
      <c r="G61" s="192">
        <f t="shared" si="23"/>
        <v>7350</v>
      </c>
      <c r="I61" s="58">
        <f t="shared" si="24"/>
        <v>34</v>
      </c>
      <c r="J61" s="74">
        <f t="shared" si="25"/>
        <v>55</v>
      </c>
      <c r="K61" s="74">
        <f t="shared" si="3"/>
        <v>10.5</v>
      </c>
      <c r="L61" s="125">
        <f t="shared" si="26"/>
        <v>5250</v>
      </c>
      <c r="M61" s="74">
        <f t="shared" si="4"/>
        <v>2100</v>
      </c>
      <c r="N61" s="74">
        <f t="shared" si="27"/>
        <v>7350</v>
      </c>
      <c r="O61" s="180">
        <f t="shared" si="28"/>
        <v>700</v>
      </c>
      <c r="Q61" s="58">
        <f t="shared" si="5"/>
        <v>34</v>
      </c>
      <c r="R61" s="52">
        <f t="shared" si="6"/>
        <v>56</v>
      </c>
      <c r="S61" s="52">
        <f t="shared" si="7"/>
        <v>1</v>
      </c>
      <c r="T61" s="54">
        <f t="shared" si="48"/>
        <v>0.1</v>
      </c>
      <c r="U61" s="52">
        <f t="shared" si="8"/>
        <v>2100</v>
      </c>
      <c r="V61" s="52">
        <f t="shared" si="29"/>
        <v>13904.000757777985</v>
      </c>
      <c r="W61" s="52">
        <f t="shared" si="30"/>
        <v>210</v>
      </c>
      <c r="X61" s="87">
        <f t="shared" si="31"/>
        <v>556.16003031111939</v>
      </c>
      <c r="Y61" s="53">
        <f t="shared" si="32"/>
        <v>14670.160788089104</v>
      </c>
      <c r="AA61" s="58">
        <f t="shared" si="9"/>
        <v>34</v>
      </c>
      <c r="AB61" s="52">
        <f t="shared" si="10"/>
        <v>56</v>
      </c>
      <c r="AC61" s="52">
        <f t="shared" si="11"/>
        <v>0</v>
      </c>
      <c r="AD61" s="54">
        <f t="shared" si="49"/>
        <v>0.15</v>
      </c>
      <c r="AE61" s="52">
        <f t="shared" si="12"/>
        <v>7350</v>
      </c>
      <c r="AF61" s="52">
        <f t="shared" si="33"/>
        <v>0</v>
      </c>
      <c r="AG61" s="52">
        <f t="shared" si="34"/>
        <v>0</v>
      </c>
      <c r="AH61" s="52">
        <f t="shared" si="13"/>
        <v>0</v>
      </c>
      <c r="AI61" s="53">
        <f t="shared" si="35"/>
        <v>0</v>
      </c>
      <c r="AK61" s="58">
        <f t="shared" si="36"/>
        <v>34</v>
      </c>
      <c r="AL61" s="52">
        <f t="shared" si="36"/>
        <v>56</v>
      </c>
      <c r="AM61" s="52">
        <f t="shared" si="14"/>
        <v>1</v>
      </c>
      <c r="AN61" s="54">
        <f t="shared" si="15"/>
        <v>0.13500000000000001</v>
      </c>
      <c r="AO61" s="54">
        <f t="shared" si="16"/>
        <v>0.18</v>
      </c>
      <c r="AP61" s="207">
        <f t="shared" si="37"/>
        <v>7350</v>
      </c>
      <c r="AQ61" s="52">
        <f t="shared" si="38"/>
        <v>72996.00397833444</v>
      </c>
      <c r="AR61" s="52">
        <f t="shared" si="39"/>
        <v>1102.5</v>
      </c>
      <c r="AS61" s="48">
        <f t="shared" si="40"/>
        <v>2919.8401591333777</v>
      </c>
      <c r="AT61" s="53">
        <f t="shared" si="41"/>
        <v>77018.344137467822</v>
      </c>
      <c r="AV61" s="58">
        <f t="shared" si="51"/>
        <v>34</v>
      </c>
      <c r="AW61" s="52">
        <f t="shared" si="51"/>
        <v>56</v>
      </c>
      <c r="AX61" s="48">
        <v>1</v>
      </c>
      <c r="AY61" s="54">
        <f t="shared" si="18"/>
        <v>0.13500000000000001</v>
      </c>
      <c r="AZ61" s="54">
        <f t="shared" si="19"/>
        <v>0.18</v>
      </c>
      <c r="BA61" s="207">
        <f t="shared" si="42"/>
        <v>7350</v>
      </c>
      <c r="BB61" s="52">
        <f t="shared" si="43"/>
        <v>72996.00397833444</v>
      </c>
      <c r="BC61" s="48">
        <f t="shared" si="44"/>
        <v>1102.5</v>
      </c>
      <c r="BD61" s="48">
        <f t="shared" si="45"/>
        <v>2919.8401591333777</v>
      </c>
      <c r="BE61" s="53">
        <f t="shared" si="46"/>
        <v>77018.344137467822</v>
      </c>
    </row>
    <row r="62" spans="2:57" ht="15.75" thickTop="1" thickBot="1">
      <c r="B62" s="58">
        <f t="shared" si="52"/>
        <v>35</v>
      </c>
      <c r="C62" s="52">
        <f t="shared" si="52"/>
        <v>56</v>
      </c>
      <c r="D62" s="185">
        <f t="shared" si="47"/>
        <v>1</v>
      </c>
      <c r="E62" s="48">
        <f t="shared" si="21"/>
        <v>700</v>
      </c>
      <c r="F62" s="205">
        <f t="shared" si="22"/>
        <v>10.5</v>
      </c>
      <c r="G62" s="192">
        <f t="shared" si="23"/>
        <v>7350</v>
      </c>
      <c r="I62" s="58">
        <f t="shared" si="24"/>
        <v>35</v>
      </c>
      <c r="J62" s="74">
        <f t="shared" si="25"/>
        <v>56</v>
      </c>
      <c r="K62" s="74">
        <f t="shared" si="3"/>
        <v>10.5</v>
      </c>
      <c r="L62" s="52">
        <f t="shared" si="26"/>
        <v>5250</v>
      </c>
      <c r="M62" s="74">
        <f t="shared" si="4"/>
        <v>2100</v>
      </c>
      <c r="N62" s="74">
        <f t="shared" si="27"/>
        <v>7350</v>
      </c>
      <c r="O62" s="180">
        <f t="shared" si="28"/>
        <v>700</v>
      </c>
      <c r="Q62" s="58">
        <f t="shared" si="5"/>
        <v>35</v>
      </c>
      <c r="R62" s="52">
        <f t="shared" si="6"/>
        <v>57</v>
      </c>
      <c r="S62" s="52">
        <f t="shared" si="7"/>
        <v>1</v>
      </c>
      <c r="T62" s="54">
        <f t="shared" si="48"/>
        <v>0.1</v>
      </c>
      <c r="U62" s="52">
        <f t="shared" si="8"/>
        <v>2100</v>
      </c>
      <c r="V62" s="52">
        <f t="shared" si="29"/>
        <v>14670.160788089104</v>
      </c>
      <c r="W62" s="52">
        <f t="shared" si="30"/>
        <v>210</v>
      </c>
      <c r="X62" s="87">
        <f t="shared" si="31"/>
        <v>586.80643152356413</v>
      </c>
      <c r="Y62" s="53">
        <f t="shared" si="32"/>
        <v>15466.967219612668</v>
      </c>
      <c r="AA62" s="58">
        <f t="shared" si="9"/>
        <v>35</v>
      </c>
      <c r="AB62" s="52">
        <f t="shared" si="10"/>
        <v>57</v>
      </c>
      <c r="AC62" s="52">
        <f t="shared" si="11"/>
        <v>0</v>
      </c>
      <c r="AD62" s="54">
        <f t="shared" si="49"/>
        <v>0.15</v>
      </c>
      <c r="AE62" s="52">
        <f t="shared" si="12"/>
        <v>7350</v>
      </c>
      <c r="AF62" s="52">
        <f t="shared" si="33"/>
        <v>0</v>
      </c>
      <c r="AG62" s="52">
        <f t="shared" si="34"/>
        <v>0</v>
      </c>
      <c r="AH62" s="52">
        <f t="shared" si="13"/>
        <v>0</v>
      </c>
      <c r="AI62" s="53">
        <f t="shared" si="35"/>
        <v>0</v>
      </c>
      <c r="AK62" s="58">
        <f t="shared" si="36"/>
        <v>35</v>
      </c>
      <c r="AL62" s="52">
        <f t="shared" si="36"/>
        <v>57</v>
      </c>
      <c r="AM62" s="52">
        <f t="shared" si="14"/>
        <v>1</v>
      </c>
      <c r="AN62" s="54">
        <f t="shared" si="15"/>
        <v>0.13500000000000001</v>
      </c>
      <c r="AO62" s="54">
        <f t="shared" si="16"/>
        <v>0.18</v>
      </c>
      <c r="AP62" s="207">
        <f t="shared" si="37"/>
        <v>7350</v>
      </c>
      <c r="AQ62" s="52">
        <f t="shared" si="38"/>
        <v>77018.344137467822</v>
      </c>
      <c r="AR62" s="52">
        <f t="shared" si="39"/>
        <v>1102.5</v>
      </c>
      <c r="AS62" s="48">
        <f t="shared" si="40"/>
        <v>3080.7337654987132</v>
      </c>
      <c r="AT62" s="53">
        <f t="shared" si="41"/>
        <v>81201.577902966528</v>
      </c>
      <c r="AV62" s="58">
        <f t="shared" si="51"/>
        <v>35</v>
      </c>
      <c r="AW62" s="52">
        <f t="shared" si="51"/>
        <v>57</v>
      </c>
      <c r="AX62" s="48">
        <v>1</v>
      </c>
      <c r="AY62" s="54">
        <f t="shared" si="18"/>
        <v>0.13500000000000001</v>
      </c>
      <c r="AZ62" s="54">
        <f t="shared" si="19"/>
        <v>0.18</v>
      </c>
      <c r="BA62" s="207">
        <f t="shared" si="42"/>
        <v>7350</v>
      </c>
      <c r="BB62" s="52">
        <f t="shared" si="43"/>
        <v>77018.344137467822</v>
      </c>
      <c r="BC62" s="48">
        <f t="shared" si="44"/>
        <v>1102.5</v>
      </c>
      <c r="BD62" s="48">
        <f t="shared" si="45"/>
        <v>3080.7337654987132</v>
      </c>
      <c r="BE62" s="53">
        <f t="shared" si="46"/>
        <v>81201.577902966528</v>
      </c>
    </row>
    <row r="63" spans="2:57" ht="15.75" thickTop="1" thickBot="1">
      <c r="B63" s="58">
        <f t="shared" si="52"/>
        <v>36</v>
      </c>
      <c r="C63" s="52">
        <f t="shared" si="52"/>
        <v>57</v>
      </c>
      <c r="D63" s="185">
        <f t="shared" si="47"/>
        <v>1</v>
      </c>
      <c r="E63" s="48">
        <f t="shared" si="21"/>
        <v>700</v>
      </c>
      <c r="F63" s="205">
        <f t="shared" si="22"/>
        <v>10.5</v>
      </c>
      <c r="G63" s="192">
        <f t="shared" si="23"/>
        <v>7350</v>
      </c>
      <c r="I63" s="58">
        <f t="shared" si="24"/>
        <v>36</v>
      </c>
      <c r="J63" s="74">
        <f t="shared" si="25"/>
        <v>57</v>
      </c>
      <c r="K63" s="74">
        <f t="shared" si="3"/>
        <v>10.5</v>
      </c>
      <c r="L63" s="52">
        <f t="shared" si="26"/>
        <v>5250</v>
      </c>
      <c r="M63" s="74">
        <f t="shared" si="4"/>
        <v>2100</v>
      </c>
      <c r="N63" s="74">
        <f t="shared" si="27"/>
        <v>7350</v>
      </c>
      <c r="O63" s="180">
        <f t="shared" si="28"/>
        <v>700</v>
      </c>
      <c r="Q63" s="58">
        <f t="shared" si="5"/>
        <v>36</v>
      </c>
      <c r="R63" s="52">
        <f t="shared" si="6"/>
        <v>58</v>
      </c>
      <c r="S63" s="52">
        <f t="shared" si="7"/>
        <v>1</v>
      </c>
      <c r="T63" s="54">
        <f t="shared" si="48"/>
        <v>0.1</v>
      </c>
      <c r="U63" s="52">
        <f t="shared" si="8"/>
        <v>2100</v>
      </c>
      <c r="V63" s="52">
        <f t="shared" si="29"/>
        <v>15466.967219612668</v>
      </c>
      <c r="W63" s="52">
        <f t="shared" si="30"/>
        <v>210</v>
      </c>
      <c r="X63" s="87">
        <f t="shared" si="31"/>
        <v>618.67868878450679</v>
      </c>
      <c r="Y63" s="53">
        <f t="shared" si="32"/>
        <v>16295.645908397175</v>
      </c>
      <c r="AA63" s="58">
        <f t="shared" si="9"/>
        <v>36</v>
      </c>
      <c r="AB63" s="52">
        <f t="shared" si="10"/>
        <v>58</v>
      </c>
      <c r="AC63" s="52">
        <f t="shared" si="11"/>
        <v>0</v>
      </c>
      <c r="AD63" s="54">
        <f t="shared" si="49"/>
        <v>0.15</v>
      </c>
      <c r="AE63" s="52">
        <f t="shared" si="12"/>
        <v>7350</v>
      </c>
      <c r="AF63" s="52">
        <f t="shared" si="33"/>
        <v>0</v>
      </c>
      <c r="AG63" s="52">
        <f t="shared" si="34"/>
        <v>0</v>
      </c>
      <c r="AH63" s="52">
        <f t="shared" si="13"/>
        <v>0</v>
      </c>
      <c r="AI63" s="53">
        <f t="shared" si="35"/>
        <v>0</v>
      </c>
      <c r="AK63" s="58">
        <f t="shared" si="36"/>
        <v>36</v>
      </c>
      <c r="AL63" s="52">
        <f t="shared" si="36"/>
        <v>58</v>
      </c>
      <c r="AM63" s="52">
        <f t="shared" si="14"/>
        <v>1</v>
      </c>
      <c r="AN63" s="54">
        <f t="shared" si="15"/>
        <v>0.13500000000000001</v>
      </c>
      <c r="AO63" s="54">
        <f t="shared" si="16"/>
        <v>0.18</v>
      </c>
      <c r="AP63" s="207">
        <f t="shared" si="37"/>
        <v>7350</v>
      </c>
      <c r="AQ63" s="52">
        <f t="shared" si="38"/>
        <v>81201.577902966528</v>
      </c>
      <c r="AR63" s="52">
        <f t="shared" si="39"/>
        <v>1102.5</v>
      </c>
      <c r="AS63" s="48">
        <f t="shared" si="40"/>
        <v>3248.0631161186611</v>
      </c>
      <c r="AT63" s="53">
        <f t="shared" si="41"/>
        <v>85552.141019085189</v>
      </c>
      <c r="AV63" s="58">
        <f t="shared" si="51"/>
        <v>36</v>
      </c>
      <c r="AW63" s="52">
        <f t="shared" si="51"/>
        <v>58</v>
      </c>
      <c r="AX63" s="48">
        <v>1</v>
      </c>
      <c r="AY63" s="54">
        <f t="shared" si="18"/>
        <v>0.13500000000000001</v>
      </c>
      <c r="AZ63" s="54">
        <f t="shared" si="19"/>
        <v>0.18</v>
      </c>
      <c r="BA63" s="207">
        <f t="shared" si="42"/>
        <v>7350</v>
      </c>
      <c r="BB63" s="52">
        <f t="shared" si="43"/>
        <v>81201.577902966528</v>
      </c>
      <c r="BC63" s="48">
        <f t="shared" si="44"/>
        <v>1102.5</v>
      </c>
      <c r="BD63" s="48">
        <f t="shared" si="45"/>
        <v>3248.0631161186611</v>
      </c>
      <c r="BE63" s="53">
        <f t="shared" si="46"/>
        <v>85552.141019085189</v>
      </c>
    </row>
    <row r="64" spans="2:57" customFormat="1" ht="15.75" thickTop="1" thickBot="1">
      <c r="B64" s="124">
        <f t="shared" si="52"/>
        <v>37</v>
      </c>
      <c r="C64" s="125">
        <f t="shared" si="52"/>
        <v>58</v>
      </c>
      <c r="D64" s="186">
        <f t="shared" si="47"/>
        <v>1</v>
      </c>
      <c r="E64" s="127">
        <f t="shared" si="21"/>
        <v>700</v>
      </c>
      <c r="F64" s="229">
        <f t="shared" si="22"/>
        <v>10.5</v>
      </c>
      <c r="G64" s="192">
        <f t="shared" si="23"/>
        <v>7350</v>
      </c>
      <c r="I64" s="124">
        <f t="shared" si="24"/>
        <v>37</v>
      </c>
      <c r="J64" s="129">
        <f t="shared" si="25"/>
        <v>58</v>
      </c>
      <c r="K64" s="129">
        <f t="shared" si="3"/>
        <v>10.5</v>
      </c>
      <c r="L64" s="125">
        <f t="shared" si="26"/>
        <v>5250</v>
      </c>
      <c r="M64" s="129">
        <f t="shared" si="4"/>
        <v>2100</v>
      </c>
      <c r="N64" s="129">
        <f t="shared" si="27"/>
        <v>7350</v>
      </c>
      <c r="O64" s="180">
        <f t="shared" si="28"/>
        <v>700</v>
      </c>
      <c r="Q64" s="124">
        <f t="shared" si="5"/>
        <v>37</v>
      </c>
      <c r="R64" s="125">
        <f t="shared" si="6"/>
        <v>59</v>
      </c>
      <c r="S64" s="125">
        <f t="shared" si="7"/>
        <v>1</v>
      </c>
      <c r="T64" s="126">
        <f t="shared" si="48"/>
        <v>0.1</v>
      </c>
      <c r="U64" s="125">
        <f t="shared" si="8"/>
        <v>2100</v>
      </c>
      <c r="V64" s="125">
        <f t="shared" si="29"/>
        <v>16295.645908397175</v>
      </c>
      <c r="W64" s="125">
        <f t="shared" si="30"/>
        <v>210</v>
      </c>
      <c r="X64" s="234">
        <f t="shared" si="31"/>
        <v>651.82583633588706</v>
      </c>
      <c r="Y64" s="128">
        <f t="shared" si="32"/>
        <v>17157.471744733062</v>
      </c>
      <c r="AA64" s="124">
        <f t="shared" si="9"/>
        <v>37</v>
      </c>
      <c r="AB64" s="125">
        <f t="shared" si="10"/>
        <v>59</v>
      </c>
      <c r="AC64" s="125">
        <f t="shared" si="11"/>
        <v>0</v>
      </c>
      <c r="AD64" s="126">
        <f t="shared" si="49"/>
        <v>0.15</v>
      </c>
      <c r="AE64" s="125">
        <f t="shared" si="12"/>
        <v>7350</v>
      </c>
      <c r="AF64" s="125">
        <f t="shared" si="33"/>
        <v>0</v>
      </c>
      <c r="AG64" s="125">
        <f t="shared" si="34"/>
        <v>0</v>
      </c>
      <c r="AH64" s="125">
        <f t="shared" si="13"/>
        <v>0</v>
      </c>
      <c r="AI64" s="128">
        <f t="shared" si="35"/>
        <v>0</v>
      </c>
      <c r="AK64" s="124">
        <f t="shared" si="36"/>
        <v>37</v>
      </c>
      <c r="AL64" s="125">
        <f t="shared" si="36"/>
        <v>59</v>
      </c>
      <c r="AM64" s="125">
        <f t="shared" si="14"/>
        <v>1</v>
      </c>
      <c r="AN64" s="126">
        <f t="shared" si="15"/>
        <v>0.13500000000000001</v>
      </c>
      <c r="AO64" s="126">
        <f t="shared" si="16"/>
        <v>0.18</v>
      </c>
      <c r="AP64" s="230">
        <f t="shared" si="37"/>
        <v>7350</v>
      </c>
      <c r="AQ64" s="125">
        <f t="shared" si="38"/>
        <v>85552.141019085189</v>
      </c>
      <c r="AR64" s="125">
        <f t="shared" si="39"/>
        <v>1102.5</v>
      </c>
      <c r="AS64" s="127">
        <f t="shared" si="40"/>
        <v>3422.0856407634078</v>
      </c>
      <c r="AT64" s="128">
        <f t="shared" si="41"/>
        <v>90076.726659848602</v>
      </c>
      <c r="AV64" s="124">
        <f t="shared" si="51"/>
        <v>37</v>
      </c>
      <c r="AW64" s="125">
        <f t="shared" si="51"/>
        <v>59</v>
      </c>
      <c r="AX64" s="127">
        <v>1</v>
      </c>
      <c r="AY64" s="126">
        <f t="shared" si="18"/>
        <v>0.13500000000000001</v>
      </c>
      <c r="AZ64" s="126">
        <f t="shared" si="19"/>
        <v>0.18</v>
      </c>
      <c r="BA64" s="230">
        <f t="shared" si="42"/>
        <v>7350</v>
      </c>
      <c r="BB64" s="125">
        <f t="shared" si="43"/>
        <v>85552.141019085189</v>
      </c>
      <c r="BC64" s="127">
        <f t="shared" si="44"/>
        <v>1102.5</v>
      </c>
      <c r="BD64" s="127">
        <f t="shared" si="45"/>
        <v>3422.0856407634078</v>
      </c>
      <c r="BE64" s="128">
        <f t="shared" si="46"/>
        <v>90076.726659848602</v>
      </c>
    </row>
    <row r="65" spans="2:59" ht="15.75" thickTop="1" thickBot="1">
      <c r="B65" s="124">
        <f t="shared" si="52"/>
        <v>38</v>
      </c>
      <c r="C65" s="125">
        <f t="shared" si="52"/>
        <v>59</v>
      </c>
      <c r="D65" s="186">
        <f t="shared" si="47"/>
        <v>1</v>
      </c>
      <c r="E65" s="48">
        <f t="shared" si="21"/>
        <v>700</v>
      </c>
      <c r="F65" s="205">
        <f t="shared" si="22"/>
        <v>10.5</v>
      </c>
      <c r="G65" s="192">
        <f t="shared" si="23"/>
        <v>7350</v>
      </c>
      <c r="H65"/>
      <c r="I65" s="124">
        <f t="shared" si="24"/>
        <v>38</v>
      </c>
      <c r="J65" s="129">
        <f t="shared" si="25"/>
        <v>59</v>
      </c>
      <c r="K65" s="129">
        <f t="shared" si="3"/>
        <v>10.5</v>
      </c>
      <c r="L65" s="125">
        <f t="shared" si="26"/>
        <v>5250</v>
      </c>
      <c r="M65" s="129">
        <f t="shared" si="4"/>
        <v>2100</v>
      </c>
      <c r="N65" s="129">
        <f t="shared" si="27"/>
        <v>7350</v>
      </c>
      <c r="O65" s="180">
        <f t="shared" si="28"/>
        <v>700</v>
      </c>
      <c r="P65"/>
      <c r="Q65" s="124">
        <f t="shared" si="5"/>
        <v>38</v>
      </c>
      <c r="R65" s="125">
        <f t="shared" si="6"/>
        <v>60</v>
      </c>
      <c r="S65" s="125">
        <f t="shared" si="7"/>
        <v>1</v>
      </c>
      <c r="T65" s="126">
        <f t="shared" si="48"/>
        <v>0.1</v>
      </c>
      <c r="U65" s="125">
        <f t="shared" si="8"/>
        <v>2100</v>
      </c>
      <c r="V65" s="125">
        <f t="shared" si="29"/>
        <v>17157.471744733062</v>
      </c>
      <c r="W65" s="125">
        <f t="shared" si="30"/>
        <v>210</v>
      </c>
      <c r="X65" s="87">
        <f t="shared" si="31"/>
        <v>686.29886978932245</v>
      </c>
      <c r="Y65" s="128">
        <f t="shared" si="32"/>
        <v>18053.770614522386</v>
      </c>
      <c r="Z65"/>
      <c r="AA65" s="124">
        <f t="shared" si="9"/>
        <v>38</v>
      </c>
      <c r="AB65" s="125">
        <f t="shared" si="10"/>
        <v>60</v>
      </c>
      <c r="AC65" s="125">
        <f t="shared" si="11"/>
        <v>0</v>
      </c>
      <c r="AD65" s="126">
        <f t="shared" si="49"/>
        <v>0.15</v>
      </c>
      <c r="AE65" s="125">
        <f t="shared" si="12"/>
        <v>7350</v>
      </c>
      <c r="AF65" s="125">
        <f t="shared" si="33"/>
        <v>0</v>
      </c>
      <c r="AG65" s="125">
        <f t="shared" si="34"/>
        <v>0</v>
      </c>
      <c r="AH65" s="125">
        <f t="shared" si="13"/>
        <v>0</v>
      </c>
      <c r="AI65" s="128">
        <f t="shared" si="35"/>
        <v>0</v>
      </c>
      <c r="AK65" s="124">
        <f t="shared" si="36"/>
        <v>38</v>
      </c>
      <c r="AL65" s="125">
        <f t="shared" si="36"/>
        <v>60</v>
      </c>
      <c r="AM65" s="125">
        <f t="shared" si="14"/>
        <v>1</v>
      </c>
      <c r="AN65" s="126">
        <f t="shared" si="15"/>
        <v>0.13500000000000001</v>
      </c>
      <c r="AO65" s="126">
        <f t="shared" si="16"/>
        <v>0.18</v>
      </c>
      <c r="AP65" s="230">
        <f t="shared" si="37"/>
        <v>7350</v>
      </c>
      <c r="AQ65" s="125">
        <f t="shared" si="38"/>
        <v>90076.726659848602</v>
      </c>
      <c r="AR65" s="125">
        <f t="shared" si="39"/>
        <v>1102.5</v>
      </c>
      <c r="AS65" s="127">
        <f t="shared" si="40"/>
        <v>3603.069066393944</v>
      </c>
      <c r="AT65" s="128">
        <f t="shared" si="41"/>
        <v>94782.295726242548</v>
      </c>
      <c r="AU65"/>
      <c r="AV65" s="124">
        <f t="shared" si="51"/>
        <v>38</v>
      </c>
      <c r="AW65" s="125">
        <f t="shared" si="51"/>
        <v>60</v>
      </c>
      <c r="AX65" s="127">
        <v>1</v>
      </c>
      <c r="AY65" s="126">
        <f t="shared" si="18"/>
        <v>0.13500000000000001</v>
      </c>
      <c r="AZ65" s="126">
        <f t="shared" si="19"/>
        <v>0.18</v>
      </c>
      <c r="BA65" s="230">
        <f t="shared" si="42"/>
        <v>7350</v>
      </c>
      <c r="BB65" s="125">
        <f t="shared" si="43"/>
        <v>90076.726659848602</v>
      </c>
      <c r="BC65" s="127">
        <f t="shared" si="44"/>
        <v>1102.5</v>
      </c>
      <c r="BD65" s="127">
        <f t="shared" si="45"/>
        <v>3603.069066393944</v>
      </c>
      <c r="BE65" s="128">
        <f t="shared" si="46"/>
        <v>94782.295726242548</v>
      </c>
      <c r="BG65"/>
    </row>
    <row r="66" spans="2:59" ht="15.75" thickTop="1" thickBot="1">
      <c r="B66" s="124">
        <f t="shared" si="52"/>
        <v>39</v>
      </c>
      <c r="C66" s="125">
        <f t="shared" si="52"/>
        <v>60</v>
      </c>
      <c r="D66" s="185">
        <f t="shared" si="47"/>
        <v>1</v>
      </c>
      <c r="E66" s="48">
        <f t="shared" si="21"/>
        <v>700</v>
      </c>
      <c r="F66" s="205">
        <f t="shared" si="22"/>
        <v>10.5</v>
      </c>
      <c r="G66" s="192">
        <f t="shared" si="23"/>
        <v>7350</v>
      </c>
      <c r="I66" s="124">
        <f t="shared" si="24"/>
        <v>39</v>
      </c>
      <c r="J66" s="129">
        <f t="shared" si="25"/>
        <v>60</v>
      </c>
      <c r="K66" s="129">
        <f t="shared" si="3"/>
        <v>10.5</v>
      </c>
      <c r="L66" s="125">
        <f t="shared" si="26"/>
        <v>5250</v>
      </c>
      <c r="M66" s="129">
        <f t="shared" si="4"/>
        <v>2100</v>
      </c>
      <c r="N66" s="129">
        <f t="shared" si="27"/>
        <v>7350</v>
      </c>
      <c r="O66" s="180">
        <f t="shared" si="28"/>
        <v>700</v>
      </c>
      <c r="Q66" s="124">
        <f t="shared" si="5"/>
        <v>39</v>
      </c>
      <c r="R66" s="125">
        <f t="shared" si="6"/>
        <v>61</v>
      </c>
      <c r="S66" s="125">
        <f t="shared" si="7"/>
        <v>1</v>
      </c>
      <c r="T66" s="126">
        <f t="shared" si="48"/>
        <v>0.1</v>
      </c>
      <c r="U66" s="125">
        <f t="shared" si="8"/>
        <v>2100</v>
      </c>
      <c r="V66" s="125">
        <f t="shared" si="29"/>
        <v>18053.770614522386</v>
      </c>
      <c r="W66" s="125">
        <f t="shared" si="30"/>
        <v>210</v>
      </c>
      <c r="X66" s="87">
        <f t="shared" si="31"/>
        <v>722.15082458089546</v>
      </c>
      <c r="Y66" s="128">
        <f t="shared" si="32"/>
        <v>18985.92143910328</v>
      </c>
      <c r="AA66" s="124">
        <f t="shared" si="9"/>
        <v>39</v>
      </c>
      <c r="AB66" s="125">
        <f t="shared" si="10"/>
        <v>61</v>
      </c>
      <c r="AC66" s="125">
        <f t="shared" si="11"/>
        <v>0</v>
      </c>
      <c r="AD66" s="126">
        <f t="shared" si="49"/>
        <v>0.15</v>
      </c>
      <c r="AE66" s="125">
        <f t="shared" si="12"/>
        <v>7350</v>
      </c>
      <c r="AF66" s="125">
        <f t="shared" si="33"/>
        <v>0</v>
      </c>
      <c r="AG66" s="125">
        <f t="shared" si="34"/>
        <v>0</v>
      </c>
      <c r="AH66" s="125">
        <f t="shared" si="13"/>
        <v>0</v>
      </c>
      <c r="AI66" s="128">
        <f t="shared" si="35"/>
        <v>0</v>
      </c>
      <c r="AK66" s="124">
        <f t="shared" si="36"/>
        <v>39</v>
      </c>
      <c r="AL66" s="125">
        <f t="shared" si="36"/>
        <v>61</v>
      </c>
      <c r="AM66" s="125">
        <v>1</v>
      </c>
      <c r="AN66" s="126">
        <f t="shared" si="15"/>
        <v>0.13500000000000001</v>
      </c>
      <c r="AO66" s="126">
        <f t="shared" si="16"/>
        <v>0.18</v>
      </c>
      <c r="AP66" s="207">
        <f t="shared" si="37"/>
        <v>7350</v>
      </c>
      <c r="AQ66" s="125">
        <f t="shared" si="38"/>
        <v>94782.295726242548</v>
      </c>
      <c r="AR66" s="52">
        <f t="shared" si="39"/>
        <v>1102.5</v>
      </c>
      <c r="AS66" s="48">
        <f t="shared" si="40"/>
        <v>3791.2918290497018</v>
      </c>
      <c r="AT66" s="128">
        <f t="shared" si="41"/>
        <v>99676.087555292252</v>
      </c>
      <c r="AV66" s="124">
        <f t="shared" si="51"/>
        <v>39</v>
      </c>
      <c r="AW66" s="125">
        <f t="shared" si="51"/>
        <v>61</v>
      </c>
      <c r="AX66" s="127">
        <v>1</v>
      </c>
      <c r="AY66" s="126">
        <f t="shared" si="18"/>
        <v>0.13500000000000001</v>
      </c>
      <c r="AZ66" s="126">
        <f t="shared" si="19"/>
        <v>0.18</v>
      </c>
      <c r="BA66" s="207">
        <f t="shared" si="42"/>
        <v>7350</v>
      </c>
      <c r="BB66" s="125">
        <f t="shared" si="43"/>
        <v>94782.295726242548</v>
      </c>
      <c r="BC66" s="48">
        <f t="shared" si="44"/>
        <v>1102.5</v>
      </c>
      <c r="BD66" s="48">
        <f t="shared" si="45"/>
        <v>3791.2918290497018</v>
      </c>
      <c r="BE66" s="128">
        <f t="shared" si="46"/>
        <v>99676.087555292252</v>
      </c>
    </row>
    <row r="67" spans="2:59" s="1" customFormat="1" ht="15.75" thickTop="1" thickBot="1">
      <c r="B67" s="157">
        <f t="shared" si="52"/>
        <v>40</v>
      </c>
      <c r="C67" s="158">
        <f t="shared" si="52"/>
        <v>61</v>
      </c>
      <c r="D67" s="187">
        <f t="shared" si="47"/>
        <v>1</v>
      </c>
      <c r="E67" s="183">
        <f t="shared" si="21"/>
        <v>700</v>
      </c>
      <c r="F67" s="206">
        <f t="shared" si="22"/>
        <v>10.5</v>
      </c>
      <c r="G67" s="232">
        <f t="shared" si="23"/>
        <v>7350</v>
      </c>
      <c r="I67" s="157">
        <f t="shared" si="24"/>
        <v>40</v>
      </c>
      <c r="J67" s="161">
        <f t="shared" si="25"/>
        <v>61</v>
      </c>
      <c r="K67" s="161">
        <f t="shared" si="3"/>
        <v>10.5</v>
      </c>
      <c r="L67" s="158">
        <f t="shared" si="26"/>
        <v>5250</v>
      </c>
      <c r="M67" s="161">
        <f t="shared" si="4"/>
        <v>2100</v>
      </c>
      <c r="N67" s="161">
        <f t="shared" si="27"/>
        <v>7350</v>
      </c>
      <c r="O67" s="182">
        <f t="shared" si="28"/>
        <v>700</v>
      </c>
      <c r="Q67" s="157">
        <f t="shared" si="5"/>
        <v>40</v>
      </c>
      <c r="R67" s="158">
        <f t="shared" si="6"/>
        <v>62</v>
      </c>
      <c r="S67" s="158">
        <v>1</v>
      </c>
      <c r="T67" s="159">
        <f t="shared" si="48"/>
        <v>0.1</v>
      </c>
      <c r="U67" s="158">
        <f t="shared" si="8"/>
        <v>2100</v>
      </c>
      <c r="V67" s="158">
        <f t="shared" si="29"/>
        <v>18985.92143910328</v>
      </c>
      <c r="W67" s="158">
        <f t="shared" si="30"/>
        <v>210</v>
      </c>
      <c r="X67" s="233">
        <f t="shared" si="31"/>
        <v>759.43685756413117</v>
      </c>
      <c r="Y67" s="160">
        <f t="shared" si="32"/>
        <v>19955.358296667411</v>
      </c>
      <c r="AA67" s="157">
        <f t="shared" si="9"/>
        <v>40</v>
      </c>
      <c r="AB67" s="158">
        <f t="shared" si="10"/>
        <v>62</v>
      </c>
      <c r="AC67" s="158">
        <f t="shared" si="11"/>
        <v>0</v>
      </c>
      <c r="AD67" s="159">
        <f t="shared" si="49"/>
        <v>0.15</v>
      </c>
      <c r="AE67" s="158">
        <f t="shared" si="12"/>
        <v>7350</v>
      </c>
      <c r="AF67" s="158">
        <f t="shared" si="33"/>
        <v>0</v>
      </c>
      <c r="AG67" s="158">
        <f t="shared" si="34"/>
        <v>0</v>
      </c>
      <c r="AH67" s="158">
        <f t="shared" si="13"/>
        <v>0</v>
      </c>
      <c r="AI67" s="160">
        <f t="shared" si="35"/>
        <v>0</v>
      </c>
      <c r="AK67" s="157">
        <f t="shared" si="36"/>
        <v>40</v>
      </c>
      <c r="AL67" s="158">
        <f t="shared" si="36"/>
        <v>62</v>
      </c>
      <c r="AM67" s="158">
        <v>1</v>
      </c>
      <c r="AN67" s="159">
        <f t="shared" si="15"/>
        <v>0.13500000000000001</v>
      </c>
      <c r="AO67" s="159">
        <f t="shared" si="16"/>
        <v>0.18</v>
      </c>
      <c r="AP67" s="228">
        <f t="shared" si="37"/>
        <v>7350</v>
      </c>
      <c r="AQ67" s="158">
        <f t="shared" si="38"/>
        <v>99676.087555292252</v>
      </c>
      <c r="AR67" s="158">
        <f t="shared" si="39"/>
        <v>1102.5</v>
      </c>
      <c r="AS67" s="183">
        <f t="shared" si="40"/>
        <v>3987.0435022116903</v>
      </c>
      <c r="AT67" s="160">
        <f t="shared" si="41"/>
        <v>104765.63105750394</v>
      </c>
      <c r="AV67" s="157">
        <f t="shared" si="51"/>
        <v>40</v>
      </c>
      <c r="AW67" s="158">
        <f t="shared" si="51"/>
        <v>62</v>
      </c>
      <c r="AX67" s="183">
        <v>1</v>
      </c>
      <c r="AY67" s="159">
        <f t="shared" si="18"/>
        <v>0.13500000000000001</v>
      </c>
      <c r="AZ67" s="159">
        <f t="shared" si="19"/>
        <v>0.18</v>
      </c>
      <c r="BA67" s="228">
        <f t="shared" si="42"/>
        <v>7350</v>
      </c>
      <c r="BB67" s="158">
        <f t="shared" si="43"/>
        <v>99676.087555292252</v>
      </c>
      <c r="BC67" s="183">
        <f t="shared" si="44"/>
        <v>1102.5</v>
      </c>
      <c r="BD67" s="183">
        <f t="shared" si="45"/>
        <v>3987.0435022116903</v>
      </c>
      <c r="BE67" s="160">
        <f t="shared" si="46"/>
        <v>104765.63105750394</v>
      </c>
    </row>
    <row r="68" spans="2:59" ht="15.75" thickTop="1" thickBot="1">
      <c r="B68" s="58">
        <f t="shared" si="52"/>
        <v>41</v>
      </c>
      <c r="C68" s="52">
        <f t="shared" si="52"/>
        <v>62</v>
      </c>
      <c r="D68" s="185">
        <f t="shared" si="47"/>
        <v>1</v>
      </c>
      <c r="E68" s="48">
        <f t="shared" si="21"/>
        <v>0</v>
      </c>
      <c r="F68" s="205">
        <f t="shared" si="22"/>
        <v>0</v>
      </c>
      <c r="G68" s="192">
        <f t="shared" si="23"/>
        <v>0</v>
      </c>
      <c r="I68" s="58">
        <f t="shared" si="24"/>
        <v>41</v>
      </c>
      <c r="J68" s="74">
        <f t="shared" si="25"/>
        <v>62</v>
      </c>
      <c r="K68" s="74">
        <f t="shared" si="3"/>
        <v>0</v>
      </c>
      <c r="L68" s="52">
        <f t="shared" si="26"/>
        <v>0</v>
      </c>
      <c r="M68" s="74">
        <f t="shared" si="4"/>
        <v>0</v>
      </c>
      <c r="N68" s="74">
        <f t="shared" si="27"/>
        <v>0</v>
      </c>
      <c r="O68" s="180">
        <f t="shared" si="28"/>
        <v>0</v>
      </c>
      <c r="Q68" s="58">
        <f t="shared" si="5"/>
        <v>41</v>
      </c>
      <c r="R68" s="52">
        <f t="shared" si="6"/>
        <v>63</v>
      </c>
      <c r="S68" s="52">
        <f t="shared" si="7"/>
        <v>0</v>
      </c>
      <c r="T68" s="54">
        <f t="shared" si="48"/>
        <v>0.1</v>
      </c>
      <c r="U68" s="52">
        <f t="shared" si="8"/>
        <v>0</v>
      </c>
      <c r="V68" s="52">
        <f t="shared" si="29"/>
        <v>19955.358296667411</v>
      </c>
      <c r="W68" s="52">
        <f t="shared" si="30"/>
        <v>0</v>
      </c>
      <c r="X68" s="87">
        <f t="shared" si="31"/>
        <v>798.21433186669651</v>
      </c>
      <c r="Y68" s="53">
        <f t="shared" si="32"/>
        <v>20753.572628534108</v>
      </c>
      <c r="AA68" s="58">
        <f t="shared" si="9"/>
        <v>41</v>
      </c>
      <c r="AB68" s="52">
        <f t="shared" si="10"/>
        <v>63</v>
      </c>
      <c r="AC68" s="52">
        <f t="shared" si="11"/>
        <v>0</v>
      </c>
      <c r="AD68" s="54">
        <f t="shared" si="49"/>
        <v>0.15</v>
      </c>
      <c r="AE68" s="52">
        <f t="shared" si="12"/>
        <v>0</v>
      </c>
      <c r="AF68" s="52">
        <f t="shared" si="33"/>
        <v>0</v>
      </c>
      <c r="AG68" s="52">
        <f t="shared" si="34"/>
        <v>0</v>
      </c>
      <c r="AH68" s="52">
        <f t="shared" si="13"/>
        <v>0</v>
      </c>
      <c r="AI68" s="53">
        <f t="shared" si="35"/>
        <v>0</v>
      </c>
      <c r="AK68" s="58">
        <f t="shared" si="36"/>
        <v>41</v>
      </c>
      <c r="AL68" s="52">
        <f t="shared" si="36"/>
        <v>63</v>
      </c>
      <c r="AM68" s="52">
        <v>0</v>
      </c>
      <c r="AN68" s="54">
        <f t="shared" si="15"/>
        <v>0</v>
      </c>
      <c r="AO68" s="54">
        <f t="shared" si="16"/>
        <v>0</v>
      </c>
      <c r="AP68" s="207">
        <f t="shared" si="37"/>
        <v>0</v>
      </c>
      <c r="AQ68" s="52">
        <f t="shared" si="38"/>
        <v>104765.63105750394</v>
      </c>
      <c r="AR68" s="52">
        <f t="shared" si="39"/>
        <v>0</v>
      </c>
      <c r="AS68" s="48">
        <f t="shared" si="40"/>
        <v>4190.6252423001579</v>
      </c>
      <c r="AT68" s="53">
        <f t="shared" si="41"/>
        <v>108956.2562998041</v>
      </c>
      <c r="AV68" s="58">
        <f t="shared" si="51"/>
        <v>41</v>
      </c>
      <c r="AW68" s="52">
        <f t="shared" si="51"/>
        <v>63</v>
      </c>
      <c r="AX68" s="183">
        <v>0</v>
      </c>
      <c r="AY68" s="54">
        <f t="shared" si="18"/>
        <v>0</v>
      </c>
      <c r="AZ68" s="54">
        <f t="shared" si="19"/>
        <v>0</v>
      </c>
      <c r="BA68" s="207">
        <f t="shared" si="42"/>
        <v>0</v>
      </c>
      <c r="BB68" s="52">
        <f t="shared" si="43"/>
        <v>104765.63105750394</v>
      </c>
      <c r="BC68" s="48">
        <f t="shared" si="44"/>
        <v>0</v>
      </c>
      <c r="BD68" s="48">
        <f t="shared" si="45"/>
        <v>4190.6252423001579</v>
      </c>
      <c r="BE68" s="53">
        <f t="shared" si="46"/>
        <v>108956.2562998041</v>
      </c>
    </row>
    <row r="69" spans="2:59" ht="15.75" thickTop="1" thickBot="1">
      <c r="B69" s="58">
        <f t="shared" si="52"/>
        <v>42</v>
      </c>
      <c r="C69" s="52">
        <f t="shared" si="52"/>
        <v>63</v>
      </c>
      <c r="D69" s="185">
        <f t="shared" si="47"/>
        <v>1</v>
      </c>
      <c r="E69" s="48">
        <f t="shared" si="21"/>
        <v>0</v>
      </c>
      <c r="F69" s="205">
        <f t="shared" si="22"/>
        <v>0</v>
      </c>
      <c r="G69" s="192">
        <f t="shared" si="23"/>
        <v>0</v>
      </c>
      <c r="I69" s="58">
        <f t="shared" si="24"/>
        <v>42</v>
      </c>
      <c r="J69" s="74">
        <f t="shared" si="25"/>
        <v>63</v>
      </c>
      <c r="K69" s="74">
        <f t="shared" si="3"/>
        <v>0</v>
      </c>
      <c r="L69" s="52">
        <f t="shared" si="26"/>
        <v>0</v>
      </c>
      <c r="M69" s="74">
        <f t="shared" si="4"/>
        <v>0</v>
      </c>
      <c r="N69" s="74">
        <f t="shared" si="27"/>
        <v>0</v>
      </c>
      <c r="O69" s="180">
        <f t="shared" si="28"/>
        <v>0</v>
      </c>
      <c r="Q69" s="124">
        <f t="shared" si="5"/>
        <v>42</v>
      </c>
      <c r="R69" s="125">
        <f t="shared" si="6"/>
        <v>64</v>
      </c>
      <c r="S69" s="125">
        <f t="shared" si="7"/>
        <v>0</v>
      </c>
      <c r="T69" s="126">
        <f t="shared" si="48"/>
        <v>0.1</v>
      </c>
      <c r="U69" s="125">
        <f t="shared" si="8"/>
        <v>0</v>
      </c>
      <c r="V69" s="125">
        <f t="shared" si="29"/>
        <v>20753.572628534108</v>
      </c>
      <c r="W69" s="125">
        <f t="shared" si="30"/>
        <v>0</v>
      </c>
      <c r="X69" s="87">
        <f t="shared" si="31"/>
        <v>830.14290514136428</v>
      </c>
      <c r="Y69" s="128">
        <f t="shared" si="32"/>
        <v>21583.715533675473</v>
      </c>
      <c r="AA69" s="58">
        <f t="shared" si="9"/>
        <v>42</v>
      </c>
      <c r="AB69" s="52">
        <f t="shared" si="10"/>
        <v>64</v>
      </c>
      <c r="AC69" s="52">
        <f t="shared" si="11"/>
        <v>0</v>
      </c>
      <c r="AD69" s="54">
        <f t="shared" si="49"/>
        <v>0.15</v>
      </c>
      <c r="AE69" s="52">
        <f t="shared" si="12"/>
        <v>0</v>
      </c>
      <c r="AF69" s="52">
        <f t="shared" si="33"/>
        <v>0</v>
      </c>
      <c r="AG69" s="52">
        <f t="shared" si="34"/>
        <v>0</v>
      </c>
      <c r="AH69" s="52">
        <f t="shared" si="13"/>
        <v>0</v>
      </c>
      <c r="AI69" s="53">
        <f t="shared" si="35"/>
        <v>0</v>
      </c>
      <c r="AK69" s="58">
        <f t="shared" si="36"/>
        <v>42</v>
      </c>
      <c r="AL69" s="52">
        <f t="shared" si="36"/>
        <v>64</v>
      </c>
      <c r="AM69" s="52">
        <v>0</v>
      </c>
      <c r="AN69" s="54">
        <f t="shared" si="15"/>
        <v>0</v>
      </c>
      <c r="AO69" s="54">
        <f t="shared" si="16"/>
        <v>0</v>
      </c>
      <c r="AP69" s="207">
        <f t="shared" si="37"/>
        <v>0</v>
      </c>
      <c r="AQ69" s="52">
        <f t="shared" si="38"/>
        <v>108956.2562998041</v>
      </c>
      <c r="AR69" s="52">
        <f t="shared" si="39"/>
        <v>0</v>
      </c>
      <c r="AS69" s="48">
        <f t="shared" si="40"/>
        <v>4358.2502519921636</v>
      </c>
      <c r="AT69" s="53">
        <f t="shared" si="41"/>
        <v>113314.50655179626</v>
      </c>
      <c r="AV69" s="58">
        <f t="shared" si="51"/>
        <v>42</v>
      </c>
      <c r="AW69" s="52">
        <f t="shared" si="51"/>
        <v>64</v>
      </c>
      <c r="AX69" s="183">
        <v>0</v>
      </c>
      <c r="AY69" s="54">
        <f t="shared" si="18"/>
        <v>0</v>
      </c>
      <c r="AZ69" s="54">
        <f t="shared" si="19"/>
        <v>0</v>
      </c>
      <c r="BA69" s="207">
        <f t="shared" si="42"/>
        <v>0</v>
      </c>
      <c r="BB69" s="52">
        <f t="shared" si="43"/>
        <v>108956.2562998041</v>
      </c>
      <c r="BC69" s="48">
        <f t="shared" si="44"/>
        <v>0</v>
      </c>
      <c r="BD69" s="48">
        <f t="shared" si="45"/>
        <v>4358.2502519921636</v>
      </c>
      <c r="BE69" s="53">
        <f t="shared" si="46"/>
        <v>113314.50655179626</v>
      </c>
    </row>
    <row r="70" spans="2:59" ht="15.75" thickTop="1" thickBot="1">
      <c r="B70" s="124">
        <f t="shared" si="52"/>
        <v>43</v>
      </c>
      <c r="C70" s="125">
        <f t="shared" si="52"/>
        <v>64</v>
      </c>
      <c r="D70" s="185">
        <f t="shared" si="47"/>
        <v>1</v>
      </c>
      <c r="E70" s="48">
        <f t="shared" si="21"/>
        <v>0</v>
      </c>
      <c r="F70" s="205">
        <f t="shared" si="22"/>
        <v>0</v>
      </c>
      <c r="G70" s="192">
        <f t="shared" si="23"/>
        <v>0</v>
      </c>
      <c r="I70" s="124">
        <f t="shared" si="24"/>
        <v>43</v>
      </c>
      <c r="J70" s="129">
        <f t="shared" si="25"/>
        <v>64</v>
      </c>
      <c r="K70" s="129">
        <f t="shared" si="3"/>
        <v>0</v>
      </c>
      <c r="L70" s="125">
        <f t="shared" si="26"/>
        <v>0</v>
      </c>
      <c r="M70" s="129">
        <f t="shared" si="4"/>
        <v>0</v>
      </c>
      <c r="N70" s="129">
        <f t="shared" si="27"/>
        <v>0</v>
      </c>
      <c r="O70" s="180">
        <f t="shared" si="28"/>
        <v>0</v>
      </c>
      <c r="P70"/>
      <c r="Q70" s="124">
        <f t="shared" si="5"/>
        <v>43</v>
      </c>
      <c r="R70" s="125">
        <f t="shared" si="6"/>
        <v>65</v>
      </c>
      <c r="S70" s="125">
        <f t="shared" si="7"/>
        <v>0</v>
      </c>
      <c r="T70" s="126">
        <f t="shared" si="48"/>
        <v>0.1</v>
      </c>
      <c r="U70" s="125">
        <f t="shared" si="8"/>
        <v>0</v>
      </c>
      <c r="V70" s="125">
        <f t="shared" si="29"/>
        <v>21583.715533675473</v>
      </c>
      <c r="W70" s="125">
        <f t="shared" si="30"/>
        <v>0</v>
      </c>
      <c r="X70" s="87">
        <f t="shared" si="31"/>
        <v>863.34862134701893</v>
      </c>
      <c r="Y70" s="128">
        <f t="shared" si="32"/>
        <v>22447.064155022494</v>
      </c>
      <c r="Z70"/>
      <c r="AA70" s="124">
        <f t="shared" si="9"/>
        <v>43</v>
      </c>
      <c r="AB70" s="125">
        <f t="shared" si="10"/>
        <v>65</v>
      </c>
      <c r="AC70" s="125">
        <f t="shared" si="11"/>
        <v>0</v>
      </c>
      <c r="AD70" s="126">
        <f t="shared" si="49"/>
        <v>0.15</v>
      </c>
      <c r="AE70" s="125">
        <f t="shared" si="12"/>
        <v>0</v>
      </c>
      <c r="AF70" s="125">
        <f t="shared" si="33"/>
        <v>0</v>
      </c>
      <c r="AG70" s="125">
        <f t="shared" si="34"/>
        <v>0</v>
      </c>
      <c r="AH70" s="125">
        <f t="shared" si="13"/>
        <v>0</v>
      </c>
      <c r="AI70" s="128">
        <f t="shared" si="35"/>
        <v>0</v>
      </c>
      <c r="AK70" s="124">
        <f t="shared" si="36"/>
        <v>43</v>
      </c>
      <c r="AL70" s="125">
        <f t="shared" si="36"/>
        <v>65</v>
      </c>
      <c r="AM70" s="52">
        <v>0</v>
      </c>
      <c r="AN70" s="126">
        <f t="shared" si="15"/>
        <v>0</v>
      </c>
      <c r="AO70" s="126">
        <f t="shared" si="16"/>
        <v>0</v>
      </c>
      <c r="AP70" s="207">
        <f t="shared" si="37"/>
        <v>0</v>
      </c>
      <c r="AQ70" s="125">
        <f t="shared" si="38"/>
        <v>113314.50655179626</v>
      </c>
      <c r="AR70" s="52">
        <f t="shared" si="39"/>
        <v>0</v>
      </c>
      <c r="AS70" s="48">
        <f t="shared" si="40"/>
        <v>4532.5802620718505</v>
      </c>
      <c r="AT70" s="128">
        <f t="shared" si="41"/>
        <v>117847.08681386811</v>
      </c>
      <c r="AU70"/>
      <c r="AV70" s="124">
        <f t="shared" si="51"/>
        <v>43</v>
      </c>
      <c r="AW70" s="125">
        <f t="shared" si="51"/>
        <v>65</v>
      </c>
      <c r="AX70" s="183">
        <v>0</v>
      </c>
      <c r="AY70" s="126">
        <f t="shared" si="18"/>
        <v>0</v>
      </c>
      <c r="AZ70" s="126">
        <f t="shared" si="19"/>
        <v>0</v>
      </c>
      <c r="BA70" s="207">
        <f t="shared" si="42"/>
        <v>0</v>
      </c>
      <c r="BB70" s="125">
        <f t="shared" si="43"/>
        <v>113314.50655179626</v>
      </c>
      <c r="BC70" s="48">
        <f t="shared" si="44"/>
        <v>0</v>
      </c>
      <c r="BD70" s="48">
        <f t="shared" si="45"/>
        <v>4532.5802620718505</v>
      </c>
      <c r="BE70" s="128">
        <f t="shared" si="46"/>
        <v>117847.08681386811</v>
      </c>
      <c r="BG70"/>
    </row>
    <row r="71" spans="2:59" ht="15.75" thickTop="1" thickBot="1">
      <c r="B71" s="124">
        <f t="shared" si="52"/>
        <v>44</v>
      </c>
      <c r="C71" s="125">
        <f t="shared" si="52"/>
        <v>65</v>
      </c>
      <c r="D71" s="185">
        <f t="shared" si="47"/>
        <v>1</v>
      </c>
      <c r="E71" s="48">
        <f t="shared" si="21"/>
        <v>0</v>
      </c>
      <c r="F71" s="205">
        <f t="shared" si="22"/>
        <v>0</v>
      </c>
      <c r="G71" s="192">
        <f t="shared" si="23"/>
        <v>0</v>
      </c>
      <c r="I71" s="58">
        <f t="shared" si="24"/>
        <v>44</v>
      </c>
      <c r="J71" s="74">
        <f t="shared" si="25"/>
        <v>65</v>
      </c>
      <c r="K71" s="74">
        <f t="shared" si="3"/>
        <v>0</v>
      </c>
      <c r="L71" s="52">
        <f t="shared" si="26"/>
        <v>0</v>
      </c>
      <c r="M71" s="74">
        <f t="shared" si="4"/>
        <v>0</v>
      </c>
      <c r="N71" s="74">
        <f t="shared" si="27"/>
        <v>0</v>
      </c>
      <c r="O71" s="180">
        <f t="shared" si="28"/>
        <v>0</v>
      </c>
      <c r="Q71" s="58">
        <f t="shared" si="5"/>
        <v>44</v>
      </c>
      <c r="R71" s="52">
        <f t="shared" si="6"/>
        <v>66</v>
      </c>
      <c r="S71" s="52">
        <f t="shared" si="7"/>
        <v>0</v>
      </c>
      <c r="T71" s="54">
        <f t="shared" si="48"/>
        <v>0.1</v>
      </c>
      <c r="U71" s="52">
        <f t="shared" si="8"/>
        <v>0</v>
      </c>
      <c r="V71" s="52">
        <f t="shared" si="29"/>
        <v>22447.064155022494</v>
      </c>
      <c r="W71" s="52">
        <f t="shared" si="30"/>
        <v>0</v>
      </c>
      <c r="X71" s="87">
        <f t="shared" si="31"/>
        <v>897.88256620089976</v>
      </c>
      <c r="Y71" s="53">
        <f t="shared" si="32"/>
        <v>23344.946721223394</v>
      </c>
      <c r="AA71" s="58">
        <f t="shared" si="9"/>
        <v>44</v>
      </c>
      <c r="AB71" s="52">
        <f t="shared" si="10"/>
        <v>66</v>
      </c>
      <c r="AC71" s="52">
        <f t="shared" si="11"/>
        <v>0</v>
      </c>
      <c r="AD71" s="54">
        <f t="shared" si="49"/>
        <v>0.15</v>
      </c>
      <c r="AE71" s="52">
        <f t="shared" si="12"/>
        <v>0</v>
      </c>
      <c r="AF71" s="52">
        <f t="shared" si="33"/>
        <v>0</v>
      </c>
      <c r="AG71" s="52">
        <f t="shared" si="34"/>
        <v>0</v>
      </c>
      <c r="AH71" s="52">
        <f t="shared" si="13"/>
        <v>0</v>
      </c>
      <c r="AI71" s="53">
        <f t="shared" si="35"/>
        <v>0</v>
      </c>
      <c r="AK71" s="58">
        <f t="shared" si="36"/>
        <v>44</v>
      </c>
      <c r="AL71" s="52">
        <f t="shared" si="36"/>
        <v>66</v>
      </c>
      <c r="AM71" s="52">
        <v>0</v>
      </c>
      <c r="AN71" s="54">
        <f t="shared" si="15"/>
        <v>0</v>
      </c>
      <c r="AO71" s="54">
        <f t="shared" si="16"/>
        <v>0</v>
      </c>
      <c r="AP71" s="207">
        <f t="shared" si="37"/>
        <v>0</v>
      </c>
      <c r="AQ71" s="52">
        <f t="shared" si="38"/>
        <v>117847.08681386811</v>
      </c>
      <c r="AR71" s="52">
        <f t="shared" si="39"/>
        <v>0</v>
      </c>
      <c r="AS71" s="48">
        <f t="shared" si="40"/>
        <v>4713.8834725547249</v>
      </c>
      <c r="AT71" s="53">
        <f t="shared" si="41"/>
        <v>122560.97028642283</v>
      </c>
      <c r="AV71" s="58">
        <f t="shared" si="51"/>
        <v>44</v>
      </c>
      <c r="AW71" s="52">
        <f t="shared" si="51"/>
        <v>66</v>
      </c>
      <c r="AX71" s="183">
        <v>0</v>
      </c>
      <c r="AY71" s="54">
        <f t="shared" si="18"/>
        <v>0</v>
      </c>
      <c r="AZ71" s="54">
        <f t="shared" si="19"/>
        <v>0</v>
      </c>
      <c r="BA71" s="207">
        <f t="shared" si="42"/>
        <v>0</v>
      </c>
      <c r="BB71" s="52">
        <f t="shared" si="43"/>
        <v>117847.08681386811</v>
      </c>
      <c r="BC71" s="48">
        <f t="shared" si="44"/>
        <v>0</v>
      </c>
      <c r="BD71" s="48">
        <f t="shared" si="45"/>
        <v>4713.8834725547249</v>
      </c>
      <c r="BE71" s="53">
        <f t="shared" si="46"/>
        <v>122560.97028642283</v>
      </c>
    </row>
    <row r="72" spans="2:59" ht="15.75" thickTop="1" thickBot="1">
      <c r="B72" s="58">
        <f t="shared" si="52"/>
        <v>45</v>
      </c>
      <c r="C72" s="52">
        <f t="shared" si="52"/>
        <v>66</v>
      </c>
      <c r="D72" s="185">
        <f t="shared" si="47"/>
        <v>1</v>
      </c>
      <c r="E72" s="48">
        <f t="shared" si="21"/>
        <v>0</v>
      </c>
      <c r="F72" s="205">
        <f t="shared" si="22"/>
        <v>0</v>
      </c>
      <c r="G72" s="192">
        <f t="shared" si="23"/>
        <v>0</v>
      </c>
      <c r="I72" s="58">
        <f t="shared" si="24"/>
        <v>45</v>
      </c>
      <c r="J72" s="74">
        <f t="shared" si="25"/>
        <v>66</v>
      </c>
      <c r="K72" s="74">
        <f t="shared" si="3"/>
        <v>0</v>
      </c>
      <c r="L72" s="52">
        <f t="shared" si="26"/>
        <v>0</v>
      </c>
      <c r="M72" s="74">
        <f t="shared" si="4"/>
        <v>0</v>
      </c>
      <c r="N72" s="74">
        <f t="shared" si="27"/>
        <v>0</v>
      </c>
      <c r="O72" s="180">
        <f t="shared" si="28"/>
        <v>0</v>
      </c>
      <c r="Q72" s="58">
        <f t="shared" si="5"/>
        <v>45</v>
      </c>
      <c r="R72" s="52">
        <f t="shared" si="6"/>
        <v>67</v>
      </c>
      <c r="S72" s="52">
        <f t="shared" si="7"/>
        <v>0</v>
      </c>
      <c r="T72" s="54">
        <f t="shared" si="48"/>
        <v>0.1</v>
      </c>
      <c r="U72" s="52">
        <f t="shared" si="8"/>
        <v>0</v>
      </c>
      <c r="V72" s="52">
        <f t="shared" si="29"/>
        <v>23344.946721223394</v>
      </c>
      <c r="W72" s="52">
        <f t="shared" si="30"/>
        <v>0</v>
      </c>
      <c r="X72" s="87">
        <f t="shared" si="31"/>
        <v>933.79786884893576</v>
      </c>
      <c r="Y72" s="53">
        <f t="shared" si="32"/>
        <v>24278.744590072329</v>
      </c>
      <c r="AA72" s="58">
        <f t="shared" si="9"/>
        <v>45</v>
      </c>
      <c r="AB72" s="52">
        <f t="shared" si="10"/>
        <v>67</v>
      </c>
      <c r="AC72" s="52">
        <f t="shared" si="11"/>
        <v>0</v>
      </c>
      <c r="AD72" s="54">
        <f t="shared" si="49"/>
        <v>0.15</v>
      </c>
      <c r="AE72" s="52">
        <f t="shared" si="12"/>
        <v>0</v>
      </c>
      <c r="AF72" s="52">
        <f t="shared" si="33"/>
        <v>0</v>
      </c>
      <c r="AG72" s="52">
        <f t="shared" si="34"/>
        <v>0</v>
      </c>
      <c r="AH72" s="52">
        <f t="shared" si="13"/>
        <v>0</v>
      </c>
      <c r="AI72" s="53">
        <f t="shared" si="35"/>
        <v>0</v>
      </c>
      <c r="AK72" s="58">
        <f t="shared" si="36"/>
        <v>45</v>
      </c>
      <c r="AL72" s="52">
        <f t="shared" si="36"/>
        <v>67</v>
      </c>
      <c r="AM72" s="52">
        <v>0</v>
      </c>
      <c r="AN72" s="54">
        <f t="shared" si="15"/>
        <v>0</v>
      </c>
      <c r="AO72" s="54">
        <f t="shared" si="16"/>
        <v>0</v>
      </c>
      <c r="AP72" s="207">
        <f t="shared" si="37"/>
        <v>0</v>
      </c>
      <c r="AQ72" s="52">
        <f t="shared" si="38"/>
        <v>122560.97028642283</v>
      </c>
      <c r="AR72" s="52">
        <f t="shared" si="39"/>
        <v>0</v>
      </c>
      <c r="AS72" s="48">
        <f t="shared" si="40"/>
        <v>4902.4388114569138</v>
      </c>
      <c r="AT72" s="53">
        <f t="shared" si="41"/>
        <v>127463.40909787975</v>
      </c>
      <c r="AV72" s="58">
        <f t="shared" si="51"/>
        <v>45</v>
      </c>
      <c r="AW72" s="52">
        <f t="shared" si="51"/>
        <v>67</v>
      </c>
      <c r="AX72" s="183">
        <v>0</v>
      </c>
      <c r="AY72" s="54">
        <f t="shared" si="18"/>
        <v>0</v>
      </c>
      <c r="AZ72" s="54">
        <f t="shared" si="19"/>
        <v>0</v>
      </c>
      <c r="BA72" s="207">
        <f t="shared" si="42"/>
        <v>0</v>
      </c>
      <c r="BB72" s="52">
        <f t="shared" si="43"/>
        <v>122560.97028642283</v>
      </c>
      <c r="BC72" s="48">
        <f t="shared" si="44"/>
        <v>0</v>
      </c>
      <c r="BD72" s="48">
        <f t="shared" si="45"/>
        <v>4902.4388114569138</v>
      </c>
      <c r="BE72" s="53">
        <f t="shared" si="46"/>
        <v>127463.40909787975</v>
      </c>
    </row>
    <row r="73" spans="2:59" ht="15.75" thickTop="1" thickBot="1">
      <c r="B73" s="58">
        <f t="shared" si="52"/>
        <v>46</v>
      </c>
      <c r="C73" s="52">
        <f t="shared" si="52"/>
        <v>67</v>
      </c>
      <c r="D73" s="185">
        <f t="shared" si="47"/>
        <v>1</v>
      </c>
      <c r="E73" s="48">
        <f t="shared" si="21"/>
        <v>0</v>
      </c>
      <c r="F73" s="205">
        <f t="shared" si="22"/>
        <v>0</v>
      </c>
      <c r="G73" s="192">
        <f t="shared" si="23"/>
        <v>0</v>
      </c>
      <c r="I73" s="58">
        <f t="shared" si="24"/>
        <v>46</v>
      </c>
      <c r="J73" s="74">
        <f t="shared" si="25"/>
        <v>67</v>
      </c>
      <c r="K73" s="74">
        <f t="shared" si="3"/>
        <v>0</v>
      </c>
      <c r="L73" s="52">
        <f t="shared" si="26"/>
        <v>0</v>
      </c>
      <c r="M73" s="74">
        <f t="shared" si="4"/>
        <v>0</v>
      </c>
      <c r="N73" s="74">
        <f t="shared" si="27"/>
        <v>0</v>
      </c>
      <c r="O73" s="180">
        <f t="shared" si="28"/>
        <v>0</v>
      </c>
      <c r="Q73" s="58">
        <f t="shared" si="5"/>
        <v>46</v>
      </c>
      <c r="R73" s="52">
        <f t="shared" si="6"/>
        <v>68</v>
      </c>
      <c r="S73" s="52">
        <f t="shared" si="7"/>
        <v>0</v>
      </c>
      <c r="T73" s="54">
        <f t="shared" si="48"/>
        <v>0.1</v>
      </c>
      <c r="U73" s="52">
        <f t="shared" si="8"/>
        <v>0</v>
      </c>
      <c r="V73" s="52">
        <f t="shared" si="29"/>
        <v>24278.744590072329</v>
      </c>
      <c r="W73" s="52">
        <f t="shared" si="30"/>
        <v>0</v>
      </c>
      <c r="X73" s="87">
        <f t="shared" si="31"/>
        <v>971.14978360289319</v>
      </c>
      <c r="Y73" s="53">
        <f t="shared" si="32"/>
        <v>25249.894373675223</v>
      </c>
      <c r="AA73" s="58">
        <f t="shared" si="9"/>
        <v>46</v>
      </c>
      <c r="AB73" s="52">
        <f t="shared" si="10"/>
        <v>68</v>
      </c>
      <c r="AC73" s="52">
        <f t="shared" si="11"/>
        <v>0</v>
      </c>
      <c r="AD73" s="54">
        <f t="shared" si="49"/>
        <v>0.15</v>
      </c>
      <c r="AE73" s="52">
        <f t="shared" si="12"/>
        <v>0</v>
      </c>
      <c r="AF73" s="52">
        <f t="shared" si="33"/>
        <v>0</v>
      </c>
      <c r="AG73" s="52">
        <f t="shared" si="34"/>
        <v>0</v>
      </c>
      <c r="AH73" s="52">
        <f t="shared" si="13"/>
        <v>0</v>
      </c>
      <c r="AI73" s="53">
        <f t="shared" si="35"/>
        <v>0</v>
      </c>
      <c r="AK73" s="58">
        <f t="shared" si="36"/>
        <v>46</v>
      </c>
      <c r="AL73" s="52">
        <f t="shared" si="36"/>
        <v>68</v>
      </c>
      <c r="AM73" s="52">
        <v>0</v>
      </c>
      <c r="AN73" s="54">
        <f t="shared" si="15"/>
        <v>0</v>
      </c>
      <c r="AO73" s="54">
        <f t="shared" si="16"/>
        <v>0</v>
      </c>
      <c r="AP73" s="207">
        <f t="shared" si="37"/>
        <v>0</v>
      </c>
      <c r="AQ73" s="52">
        <f t="shared" si="38"/>
        <v>127463.40909787975</v>
      </c>
      <c r="AR73" s="52">
        <f t="shared" si="39"/>
        <v>0</v>
      </c>
      <c r="AS73" s="48">
        <f t="shared" si="40"/>
        <v>5098.5363639151901</v>
      </c>
      <c r="AT73" s="53">
        <f t="shared" si="41"/>
        <v>132561.94546179494</v>
      </c>
      <c r="AV73" s="58">
        <f t="shared" si="51"/>
        <v>46</v>
      </c>
      <c r="AW73" s="52">
        <f t="shared" si="51"/>
        <v>68</v>
      </c>
      <c r="AX73" s="183">
        <v>0</v>
      </c>
      <c r="AY73" s="54">
        <f t="shared" si="18"/>
        <v>0</v>
      </c>
      <c r="AZ73" s="54">
        <f t="shared" si="19"/>
        <v>0</v>
      </c>
      <c r="BA73" s="207">
        <f t="shared" si="42"/>
        <v>0</v>
      </c>
      <c r="BB73" s="52">
        <f t="shared" si="43"/>
        <v>127463.40909787975</v>
      </c>
      <c r="BC73" s="48">
        <f t="shared" si="44"/>
        <v>0</v>
      </c>
      <c r="BD73" s="48">
        <f t="shared" si="45"/>
        <v>5098.5363639151901</v>
      </c>
      <c r="BE73" s="53">
        <f t="shared" si="46"/>
        <v>132561.94546179494</v>
      </c>
    </row>
    <row r="74" spans="2:59" ht="15.75" thickTop="1" thickBot="1">
      <c r="B74" s="58">
        <f t="shared" si="52"/>
        <v>47</v>
      </c>
      <c r="C74" s="52">
        <f t="shared" si="52"/>
        <v>68</v>
      </c>
      <c r="D74" s="185">
        <f t="shared" si="47"/>
        <v>1</v>
      </c>
      <c r="E74" s="48">
        <f t="shared" si="21"/>
        <v>0</v>
      </c>
      <c r="F74" s="205">
        <f t="shared" si="22"/>
        <v>0</v>
      </c>
      <c r="G74" s="192">
        <f t="shared" si="23"/>
        <v>0</v>
      </c>
      <c r="I74" s="58">
        <f t="shared" si="24"/>
        <v>47</v>
      </c>
      <c r="J74" s="74">
        <f t="shared" si="25"/>
        <v>68</v>
      </c>
      <c r="K74" s="74">
        <f t="shared" si="3"/>
        <v>0</v>
      </c>
      <c r="L74" s="52">
        <f t="shared" si="26"/>
        <v>0</v>
      </c>
      <c r="M74" s="74">
        <f t="shared" si="4"/>
        <v>0</v>
      </c>
      <c r="N74" s="74">
        <f t="shared" si="27"/>
        <v>0</v>
      </c>
      <c r="O74" s="180">
        <f t="shared" si="28"/>
        <v>0</v>
      </c>
      <c r="Q74" s="58">
        <f t="shared" si="5"/>
        <v>47</v>
      </c>
      <c r="R74" s="52">
        <f t="shared" si="6"/>
        <v>69</v>
      </c>
      <c r="S74" s="52">
        <f t="shared" si="7"/>
        <v>0</v>
      </c>
      <c r="T74" s="54">
        <f t="shared" si="48"/>
        <v>0.1</v>
      </c>
      <c r="U74" s="52">
        <f t="shared" si="8"/>
        <v>0</v>
      </c>
      <c r="V74" s="52">
        <f t="shared" si="29"/>
        <v>25249.894373675223</v>
      </c>
      <c r="W74" s="52">
        <f t="shared" si="30"/>
        <v>0</v>
      </c>
      <c r="X74" s="87">
        <f t="shared" si="31"/>
        <v>1009.995774947009</v>
      </c>
      <c r="Y74" s="53">
        <f t="shared" si="32"/>
        <v>26259.890148622231</v>
      </c>
      <c r="AA74" s="58">
        <f t="shared" si="9"/>
        <v>47</v>
      </c>
      <c r="AB74" s="52">
        <f t="shared" si="10"/>
        <v>69</v>
      </c>
      <c r="AC74" s="52">
        <f t="shared" si="11"/>
        <v>0</v>
      </c>
      <c r="AD74" s="54">
        <f t="shared" si="49"/>
        <v>0.15</v>
      </c>
      <c r="AE74" s="52">
        <f t="shared" si="12"/>
        <v>0</v>
      </c>
      <c r="AF74" s="52">
        <f t="shared" si="33"/>
        <v>0</v>
      </c>
      <c r="AG74" s="52">
        <f t="shared" si="34"/>
        <v>0</v>
      </c>
      <c r="AH74" s="52">
        <f t="shared" si="13"/>
        <v>0</v>
      </c>
      <c r="AI74" s="53">
        <f t="shared" si="35"/>
        <v>0</v>
      </c>
      <c r="AK74" s="58">
        <f t="shared" si="36"/>
        <v>47</v>
      </c>
      <c r="AL74" s="52">
        <f t="shared" si="36"/>
        <v>69</v>
      </c>
      <c r="AM74" s="52">
        <v>0</v>
      </c>
      <c r="AN74" s="54">
        <f t="shared" si="15"/>
        <v>0</v>
      </c>
      <c r="AO74" s="54">
        <f t="shared" si="16"/>
        <v>0</v>
      </c>
      <c r="AP74" s="207">
        <f t="shared" si="37"/>
        <v>0</v>
      </c>
      <c r="AQ74" s="52">
        <f t="shared" si="38"/>
        <v>132561.94546179494</v>
      </c>
      <c r="AR74" s="52">
        <f t="shared" si="39"/>
        <v>0</v>
      </c>
      <c r="AS74" s="48">
        <f t="shared" si="40"/>
        <v>5302.4778184717979</v>
      </c>
      <c r="AT74" s="53">
        <f t="shared" si="41"/>
        <v>137864.42328026672</v>
      </c>
      <c r="AV74" s="58">
        <f t="shared" si="51"/>
        <v>47</v>
      </c>
      <c r="AW74" s="52">
        <f t="shared" si="51"/>
        <v>69</v>
      </c>
      <c r="AX74" s="183">
        <v>0</v>
      </c>
      <c r="AY74" s="54">
        <f t="shared" si="18"/>
        <v>0</v>
      </c>
      <c r="AZ74" s="54">
        <f t="shared" si="19"/>
        <v>0</v>
      </c>
      <c r="BA74" s="207">
        <f t="shared" si="42"/>
        <v>0</v>
      </c>
      <c r="BB74" s="52">
        <f t="shared" si="43"/>
        <v>132561.94546179494</v>
      </c>
      <c r="BC74" s="48">
        <f t="shared" si="44"/>
        <v>0</v>
      </c>
      <c r="BD74" s="48">
        <f t="shared" si="45"/>
        <v>5302.4778184717979</v>
      </c>
      <c r="BE74" s="53">
        <f t="shared" si="46"/>
        <v>137864.42328026672</v>
      </c>
    </row>
    <row r="75" spans="2:59" ht="15.75" thickTop="1" thickBot="1">
      <c r="B75" s="58">
        <f t="shared" si="52"/>
        <v>48</v>
      </c>
      <c r="C75" s="52">
        <f t="shared" si="52"/>
        <v>69</v>
      </c>
      <c r="D75" s="185">
        <f t="shared" si="47"/>
        <v>1</v>
      </c>
      <c r="E75" s="48">
        <f t="shared" si="21"/>
        <v>0</v>
      </c>
      <c r="F75" s="205">
        <f t="shared" si="22"/>
        <v>0</v>
      </c>
      <c r="G75" s="192">
        <f t="shared" si="23"/>
        <v>0</v>
      </c>
      <c r="I75" s="58">
        <f t="shared" si="24"/>
        <v>48</v>
      </c>
      <c r="J75" s="74">
        <f t="shared" si="25"/>
        <v>69</v>
      </c>
      <c r="K75" s="74">
        <f t="shared" si="3"/>
        <v>0</v>
      </c>
      <c r="L75" s="52">
        <f t="shared" si="26"/>
        <v>0</v>
      </c>
      <c r="M75" s="74">
        <f t="shared" si="4"/>
        <v>0</v>
      </c>
      <c r="N75" s="74">
        <f t="shared" si="27"/>
        <v>0</v>
      </c>
      <c r="O75" s="180">
        <f t="shared" si="28"/>
        <v>0</v>
      </c>
      <c r="Q75" s="58">
        <f t="shared" si="5"/>
        <v>48</v>
      </c>
      <c r="R75" s="52">
        <f t="shared" si="6"/>
        <v>70</v>
      </c>
      <c r="S75" s="52">
        <f t="shared" si="7"/>
        <v>0</v>
      </c>
      <c r="T75" s="54">
        <f t="shared" si="48"/>
        <v>0.1</v>
      </c>
      <c r="U75" s="52">
        <f t="shared" si="8"/>
        <v>0</v>
      </c>
      <c r="V75" s="52">
        <f t="shared" si="29"/>
        <v>26259.890148622231</v>
      </c>
      <c r="W75" s="52">
        <f t="shared" si="30"/>
        <v>0</v>
      </c>
      <c r="X75" s="87">
        <f t="shared" si="31"/>
        <v>1050.3956059448892</v>
      </c>
      <c r="Y75" s="53">
        <f t="shared" si="32"/>
        <v>27310.285754567121</v>
      </c>
      <c r="AA75" s="58">
        <f t="shared" si="9"/>
        <v>48</v>
      </c>
      <c r="AB75" s="52">
        <f t="shared" si="10"/>
        <v>70</v>
      </c>
      <c r="AC75" s="52">
        <f t="shared" si="11"/>
        <v>0</v>
      </c>
      <c r="AD75" s="54">
        <f t="shared" si="49"/>
        <v>0.15</v>
      </c>
      <c r="AE75" s="52">
        <f t="shared" si="12"/>
        <v>0</v>
      </c>
      <c r="AF75" s="52">
        <f t="shared" si="33"/>
        <v>0</v>
      </c>
      <c r="AG75" s="52">
        <f t="shared" si="34"/>
        <v>0</v>
      </c>
      <c r="AH75" s="52">
        <f t="shared" si="13"/>
        <v>0</v>
      </c>
      <c r="AI75" s="53">
        <f t="shared" si="35"/>
        <v>0</v>
      </c>
      <c r="AK75" s="58">
        <f t="shared" si="36"/>
        <v>48</v>
      </c>
      <c r="AL75" s="52">
        <f t="shared" si="36"/>
        <v>70</v>
      </c>
      <c r="AM75" s="52">
        <v>0</v>
      </c>
      <c r="AN75" s="54">
        <f t="shared" si="15"/>
        <v>0</v>
      </c>
      <c r="AO75" s="54">
        <f t="shared" si="16"/>
        <v>0</v>
      </c>
      <c r="AP75" s="207">
        <f t="shared" si="37"/>
        <v>0</v>
      </c>
      <c r="AQ75" s="52">
        <f t="shared" si="38"/>
        <v>137864.42328026672</v>
      </c>
      <c r="AR75" s="52">
        <f t="shared" si="39"/>
        <v>0</v>
      </c>
      <c r="AS75" s="48">
        <f t="shared" si="40"/>
        <v>5514.5769312106695</v>
      </c>
      <c r="AT75" s="53">
        <f t="shared" si="41"/>
        <v>143379.0002114774</v>
      </c>
      <c r="AV75" s="58">
        <f t="shared" si="51"/>
        <v>48</v>
      </c>
      <c r="AW75" s="52">
        <f t="shared" si="51"/>
        <v>70</v>
      </c>
      <c r="AX75" s="183">
        <v>0</v>
      </c>
      <c r="AY75" s="54">
        <f t="shared" si="18"/>
        <v>0</v>
      </c>
      <c r="AZ75" s="54">
        <f t="shared" si="19"/>
        <v>0</v>
      </c>
      <c r="BA75" s="207">
        <f t="shared" si="42"/>
        <v>0</v>
      </c>
      <c r="BB75" s="52">
        <f t="shared" si="43"/>
        <v>137864.42328026672</v>
      </c>
      <c r="BC75" s="48">
        <f t="shared" si="44"/>
        <v>0</v>
      </c>
      <c r="BD75" s="48">
        <f t="shared" si="45"/>
        <v>5514.5769312106695</v>
      </c>
      <c r="BE75" s="53">
        <f t="shared" si="46"/>
        <v>143379.0002114774</v>
      </c>
    </row>
    <row r="76" spans="2:59" ht="15.75" thickTop="1" thickBot="1">
      <c r="B76" s="59">
        <f t="shared" si="52"/>
        <v>49</v>
      </c>
      <c r="C76" s="55">
        <f t="shared" si="52"/>
        <v>70</v>
      </c>
      <c r="D76" s="185">
        <f t="shared" si="47"/>
        <v>1</v>
      </c>
      <c r="E76" s="48">
        <f t="shared" si="21"/>
        <v>0</v>
      </c>
      <c r="F76" s="205">
        <f t="shared" si="22"/>
        <v>0</v>
      </c>
      <c r="G76" s="192">
        <f t="shared" si="23"/>
        <v>0</v>
      </c>
      <c r="I76" s="59">
        <f t="shared" si="24"/>
        <v>49</v>
      </c>
      <c r="J76" s="76">
        <f t="shared" si="25"/>
        <v>70</v>
      </c>
      <c r="K76" s="76">
        <f t="shared" si="3"/>
        <v>0</v>
      </c>
      <c r="L76" s="55">
        <f t="shared" si="26"/>
        <v>0</v>
      </c>
      <c r="M76" s="76">
        <f t="shared" si="4"/>
        <v>0</v>
      </c>
      <c r="N76" s="76">
        <f t="shared" si="27"/>
        <v>0</v>
      </c>
      <c r="O76" s="181">
        <f t="shared" si="28"/>
        <v>0</v>
      </c>
      <c r="Q76" s="59">
        <f t="shared" si="5"/>
        <v>49</v>
      </c>
      <c r="R76" s="67">
        <f t="shared" si="6"/>
        <v>71</v>
      </c>
      <c r="S76" s="67">
        <f t="shared" si="7"/>
        <v>0</v>
      </c>
      <c r="T76" s="68">
        <f t="shared" si="48"/>
        <v>0.1</v>
      </c>
      <c r="U76" s="67">
        <f t="shared" si="8"/>
        <v>0</v>
      </c>
      <c r="V76" s="67">
        <f t="shared" si="29"/>
        <v>27310.285754567121</v>
      </c>
      <c r="W76" s="67">
        <f t="shared" si="30"/>
        <v>0</v>
      </c>
      <c r="X76" s="87">
        <f t="shared" si="31"/>
        <v>1092.4114301826849</v>
      </c>
      <c r="Y76" s="70">
        <f t="shared" si="32"/>
        <v>28402.697184749806</v>
      </c>
      <c r="AA76" s="59">
        <f t="shared" si="9"/>
        <v>49</v>
      </c>
      <c r="AB76" s="67">
        <f t="shared" si="10"/>
        <v>71</v>
      </c>
      <c r="AC76" s="67">
        <f t="shared" si="11"/>
        <v>0</v>
      </c>
      <c r="AD76" s="68">
        <f t="shared" si="49"/>
        <v>0.15</v>
      </c>
      <c r="AE76" s="67">
        <f t="shared" si="12"/>
        <v>0</v>
      </c>
      <c r="AF76" s="67">
        <f t="shared" si="33"/>
        <v>0</v>
      </c>
      <c r="AG76" s="67">
        <f t="shared" si="34"/>
        <v>0</v>
      </c>
      <c r="AH76" s="67">
        <f t="shared" si="13"/>
        <v>0</v>
      </c>
      <c r="AI76" s="69">
        <f t="shared" si="35"/>
        <v>0</v>
      </c>
      <c r="AK76" s="59">
        <f t="shared" si="36"/>
        <v>49</v>
      </c>
      <c r="AL76" s="67">
        <f t="shared" si="36"/>
        <v>71</v>
      </c>
      <c r="AM76" s="52">
        <v>0</v>
      </c>
      <c r="AN76" s="68">
        <f t="shared" si="15"/>
        <v>0</v>
      </c>
      <c r="AO76" s="68">
        <f t="shared" si="16"/>
        <v>0</v>
      </c>
      <c r="AP76" s="207">
        <f t="shared" si="37"/>
        <v>0</v>
      </c>
      <c r="AQ76" s="55">
        <f t="shared" si="38"/>
        <v>143379.0002114774</v>
      </c>
      <c r="AR76" s="52">
        <f t="shared" si="39"/>
        <v>0</v>
      </c>
      <c r="AS76" s="48">
        <f t="shared" si="40"/>
        <v>5735.1600084590964</v>
      </c>
      <c r="AT76" s="69">
        <f t="shared" si="41"/>
        <v>149114.16021993649</v>
      </c>
      <c r="AV76" s="59">
        <f t="shared" si="51"/>
        <v>49</v>
      </c>
      <c r="AW76" s="67">
        <f t="shared" si="51"/>
        <v>71</v>
      </c>
      <c r="AX76" s="183">
        <v>0</v>
      </c>
      <c r="AY76" s="68">
        <f t="shared" si="18"/>
        <v>0</v>
      </c>
      <c r="AZ76" s="68">
        <f t="shared" si="19"/>
        <v>0</v>
      </c>
      <c r="BA76" s="207">
        <f t="shared" si="42"/>
        <v>0</v>
      </c>
      <c r="BB76" s="55">
        <f t="shared" si="43"/>
        <v>143379.0002114774</v>
      </c>
      <c r="BC76" s="48">
        <f t="shared" si="44"/>
        <v>0</v>
      </c>
      <c r="BD76" s="48">
        <f t="shared" si="45"/>
        <v>5735.1600084590964</v>
      </c>
      <c r="BE76" s="69">
        <f t="shared" si="46"/>
        <v>149114.16021993649</v>
      </c>
    </row>
    <row r="77" spans="2:59" ht="15" thickTop="1"/>
    <row r="93" spans="2:2">
      <c r="B93" s="20">
        <f>+B92/12</f>
        <v>0</v>
      </c>
    </row>
    <row r="95" spans="2:2">
      <c r="B95" s="20">
        <f ca="1">+B93-BM8</f>
        <v>-7350</v>
      </c>
    </row>
  </sheetData>
  <mergeCells count="17">
    <mergeCell ref="BH10:BK10"/>
    <mergeCell ref="Q3:Y3"/>
    <mergeCell ref="AA3:AT3"/>
    <mergeCell ref="I4:O4"/>
    <mergeCell ref="BH8:BK8"/>
    <mergeCell ref="BH9:BK9"/>
    <mergeCell ref="B24:G24"/>
    <mergeCell ref="I24:O24"/>
    <mergeCell ref="Q24:Y24"/>
    <mergeCell ref="AA24:AI24"/>
    <mergeCell ref="AK24:AT24"/>
    <mergeCell ref="Q25:Y25"/>
    <mergeCell ref="AA25:AI25"/>
    <mergeCell ref="AK25:AT25"/>
    <mergeCell ref="AV25:BE25"/>
    <mergeCell ref="BH11:BK11"/>
    <mergeCell ref="AV24:BE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F76A-4762-4C43-9958-8D2EF17CBFD1}">
  <dimension ref="A1:BN95"/>
  <sheetViews>
    <sheetView topLeftCell="A6" workbookViewId="0">
      <selection activeCell="F20" sqref="F20"/>
    </sheetView>
  </sheetViews>
  <sheetFormatPr baseColWidth="10" defaultColWidth="11.5" defaultRowHeight="14.25"/>
  <cols>
    <col min="2" max="2" width="14.625" style="20" bestFit="1" customWidth="1"/>
    <col min="3" max="3" width="7.5" style="20" customWidth="1"/>
    <col min="4" max="4" width="10.375" style="20" customWidth="1"/>
    <col min="5" max="5" width="10.5" style="22" bestFit="1" customWidth="1"/>
    <col min="6" max="6" width="11.375" style="22" customWidth="1"/>
    <col min="7" max="7" width="8.875" style="189" bestFit="1" customWidth="1"/>
    <col min="8" max="8" width="9.625" style="194" bestFit="1" customWidth="1"/>
    <col min="9" max="9" width="16.875" customWidth="1"/>
    <col min="10" max="10" width="15.375" bestFit="1" customWidth="1"/>
    <col min="11" max="11" width="21.375" customWidth="1"/>
    <col min="15" max="15" width="10.625" customWidth="1"/>
    <col min="16" max="16" width="3.375" style="194" customWidth="1"/>
    <col min="17" max="17" width="4.625" bestFit="1" customWidth="1"/>
    <col min="18" max="18" width="16.625" customWidth="1"/>
    <col min="19" max="19" width="15.125" customWidth="1"/>
    <col min="20" max="20" width="27.125" bestFit="1" customWidth="1"/>
    <col min="21" max="21" width="15.625" customWidth="1"/>
    <col min="22" max="22" width="16.375" customWidth="1"/>
    <col min="23" max="23" width="15.625" customWidth="1"/>
    <col min="24" max="24" width="12.5" customWidth="1"/>
    <col min="25" max="25" width="15.625" customWidth="1"/>
    <col min="26" max="26" width="3.375" style="194" customWidth="1"/>
    <col min="27" max="27" width="8.5" bestFit="1" customWidth="1"/>
    <col min="28" max="28" width="9" bestFit="1" customWidth="1"/>
    <col min="29" max="29" width="10.625" customWidth="1"/>
    <col min="30" max="30" width="8.625" bestFit="1" customWidth="1"/>
    <col min="31" max="31" width="11.375" bestFit="1" customWidth="1"/>
    <col min="32" max="32" width="13.625" bestFit="1" customWidth="1"/>
    <col min="33" max="33" width="16.375" bestFit="1" customWidth="1"/>
    <col min="34" max="34" width="11" bestFit="1" customWidth="1"/>
    <col min="35" max="35" width="8.625" bestFit="1" customWidth="1"/>
    <col min="36" max="36" width="3.5" customWidth="1"/>
    <col min="37" max="37" width="8.5" bestFit="1" customWidth="1"/>
    <col min="38" max="38" width="9" bestFit="1" customWidth="1"/>
    <col min="39" max="39" width="10.625" customWidth="1"/>
    <col min="40" max="40" width="10.125" bestFit="1" customWidth="1"/>
    <col min="41" max="41" width="10.625" bestFit="1" customWidth="1"/>
    <col min="42" max="42" width="21.5" bestFit="1" customWidth="1"/>
    <col min="43" max="43" width="11.875" bestFit="1" customWidth="1"/>
    <col min="44" max="44" width="9.125" bestFit="1" customWidth="1"/>
    <col min="45" max="45" width="10.125" bestFit="1" customWidth="1"/>
    <col min="46" max="46" width="11.375" customWidth="1"/>
    <col min="47" max="47" width="3.5" style="194" customWidth="1"/>
    <col min="49" max="49" width="10.5" bestFit="1" customWidth="1"/>
    <col min="54" max="54" width="13" bestFit="1" customWidth="1"/>
    <col min="58" max="58" width="6.375" customWidth="1"/>
    <col min="59" max="59" width="8.375" style="1" customWidth="1"/>
    <col min="65" max="65" width="12.5" bestFit="1" customWidth="1"/>
  </cols>
  <sheetData>
    <row r="1" spans="1:66" ht="23.25">
      <c r="B1" s="19" t="s">
        <v>29</v>
      </c>
      <c r="D1"/>
      <c r="E1" s="21"/>
      <c r="F1" s="21"/>
      <c r="G1" s="21"/>
      <c r="BH1" s="172" t="s">
        <v>99</v>
      </c>
      <c r="BI1" s="174"/>
      <c r="BJ1" s="174"/>
      <c r="BK1" s="173"/>
      <c r="BL1" s="173"/>
      <c r="BM1" s="173"/>
      <c r="BN1" s="173"/>
    </row>
    <row r="2" spans="1:66" ht="15">
      <c r="B2" t="s">
        <v>77</v>
      </c>
      <c r="D2"/>
      <c r="E2" s="21"/>
      <c r="F2" s="26">
        <v>1</v>
      </c>
      <c r="G2" s="162"/>
      <c r="BH2" t="s">
        <v>43</v>
      </c>
      <c r="BM2" s="163">
        <f>+SUM(K28:K76)</f>
        <v>480</v>
      </c>
    </row>
    <row r="3" spans="1:66" ht="30">
      <c r="B3" t="s">
        <v>30</v>
      </c>
      <c r="D3"/>
      <c r="E3" s="24"/>
      <c r="F3" s="201" t="str">
        <f>+salidaformulas!B2</f>
        <v>M</v>
      </c>
      <c r="Q3" s="267" t="s">
        <v>186</v>
      </c>
      <c r="R3" s="267"/>
      <c r="S3" s="267"/>
      <c r="T3" s="267"/>
      <c r="U3" s="267"/>
      <c r="V3" s="267"/>
      <c r="W3" s="267"/>
      <c r="X3" s="267"/>
      <c r="Y3" s="267"/>
      <c r="AA3" s="268" t="s">
        <v>187</v>
      </c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BH3" t="s">
        <v>82</v>
      </c>
      <c r="BM3" s="40">
        <f>+IF(BM2&gt;240,BM2-F13,0)</f>
        <v>240</v>
      </c>
    </row>
    <row r="4" spans="1:66" ht="30">
      <c r="B4" t="s">
        <v>31</v>
      </c>
      <c r="D4"/>
      <c r="E4" s="24"/>
      <c r="F4" s="200">
        <f>+salidaformulas!B3</f>
        <v>22</v>
      </c>
      <c r="I4" s="267" t="s">
        <v>185</v>
      </c>
      <c r="J4" s="267"/>
      <c r="K4" s="267"/>
      <c r="L4" s="267"/>
      <c r="M4" s="267"/>
      <c r="N4" s="267"/>
      <c r="O4" s="267"/>
      <c r="BH4" t="s">
        <v>119</v>
      </c>
      <c r="BK4" s="22"/>
      <c r="BL4" s="22"/>
      <c r="BM4" s="155">
        <f>IF(F7&lt;=7,BN4,BN4*AF13)</f>
        <v>0.85</v>
      </c>
      <c r="BN4" s="155">
        <f>IF(AND(BM2&gt;=180,BM2&lt;240),($F$14+INT(BM3/12)*$F$15)*BM2/240,IF(BM2&lt;180,0,($F$14+INT(BM3/12)*$F$15)))</f>
        <v>0.85</v>
      </c>
    </row>
    <row r="5" spans="1:66" ht="29.25">
      <c r="B5" t="s">
        <v>98</v>
      </c>
      <c r="D5"/>
      <c r="E5" s="24"/>
      <c r="F5" s="26">
        <f>+F4</f>
        <v>22</v>
      </c>
      <c r="J5" s="39" t="s">
        <v>136</v>
      </c>
      <c r="K5" t="s">
        <v>150</v>
      </c>
      <c r="S5" s="39" t="s">
        <v>136</v>
      </c>
      <c r="T5" t="s">
        <v>150</v>
      </c>
      <c r="BH5" s="20" t="s">
        <v>84</v>
      </c>
      <c r="BI5" s="22"/>
      <c r="BJ5" s="22"/>
      <c r="BM5" s="150">
        <f ca="1">+BM6*12</f>
        <v>7140</v>
      </c>
    </row>
    <row r="6" spans="1:66" ht="15">
      <c r="B6" s="162" t="s">
        <v>54</v>
      </c>
      <c r="D6"/>
      <c r="E6" s="24"/>
      <c r="F6" s="139">
        <f>+salidaformulas!B4</f>
        <v>62</v>
      </c>
      <c r="I6" t="s">
        <v>137</v>
      </c>
      <c r="J6" t="s">
        <v>149</v>
      </c>
      <c r="K6" t="s">
        <v>151</v>
      </c>
      <c r="R6" t="s">
        <v>137</v>
      </c>
      <c r="S6" t="s">
        <v>149</v>
      </c>
      <c r="T6" t="s">
        <v>151</v>
      </c>
      <c r="BH6" s="20" t="s">
        <v>85</v>
      </c>
      <c r="BI6" s="22"/>
      <c r="BJ6" s="22"/>
      <c r="BK6" s="34"/>
      <c r="BL6" s="34"/>
      <c r="BM6" s="152">
        <f ca="1">IF(BM2&gt;=240,MAX(MAX(BL8:BL10),265),MAX(BL8:BL10))</f>
        <v>595</v>
      </c>
      <c r="BN6" s="140"/>
    </row>
    <row r="7" spans="1:66" ht="15">
      <c r="B7" s="162" t="s">
        <v>184</v>
      </c>
      <c r="D7"/>
      <c r="E7" s="24"/>
      <c r="F7" s="139">
        <f>+F6-F5</f>
        <v>40</v>
      </c>
      <c r="I7">
        <v>1</v>
      </c>
      <c r="J7" s="40">
        <f>LARGE($G$28:$G$65,I7)</f>
        <v>8400</v>
      </c>
      <c r="K7" s="40">
        <f>LARGE($L$28:$L$65,I7)</f>
        <v>6000</v>
      </c>
      <c r="R7">
        <v>1</v>
      </c>
      <c r="S7" s="40">
        <f t="shared" ref="S7:T17" si="0">+J7</f>
        <v>8400</v>
      </c>
      <c r="T7" s="40">
        <f t="shared" si="0"/>
        <v>6000</v>
      </c>
      <c r="BL7" s="143" t="s">
        <v>127</v>
      </c>
      <c r="BM7" s="143" t="s">
        <v>133</v>
      </c>
      <c r="BN7" s="143" t="s">
        <v>132</v>
      </c>
    </row>
    <row r="8" spans="1:66" ht="15">
      <c r="B8" t="s">
        <v>61</v>
      </c>
      <c r="F8" s="28">
        <v>0.15</v>
      </c>
      <c r="I8">
        <v>2</v>
      </c>
      <c r="J8" s="40">
        <f t="shared" ref="J8:J16" si="1">LARGE($G$28:$G$65,I8)</f>
        <v>8400</v>
      </c>
      <c r="K8" s="40">
        <f t="shared" ref="K8:K16" si="2">LARGE($L$28:$L$65,I8)</f>
        <v>6000</v>
      </c>
      <c r="R8">
        <v>2</v>
      </c>
      <c r="S8" s="40">
        <f t="shared" si="0"/>
        <v>8400</v>
      </c>
      <c r="T8" s="40">
        <f t="shared" si="0"/>
        <v>6000</v>
      </c>
      <c r="BH8" s="263" t="s">
        <v>128</v>
      </c>
      <c r="BI8" s="263"/>
      <c r="BJ8" s="263"/>
      <c r="BK8" s="263"/>
      <c r="BL8" s="146">
        <f ca="1">+IF($BM$4*BM8/12&gt;1500,1500,$BM$4*BM8/12)</f>
        <v>595</v>
      </c>
      <c r="BM8" s="150" cm="1">
        <f t="array" aca="1" ref="BM8" ca="1">+AVERAGE(LARGE($G$28:$G$76,ROW(INDIRECT("1:10"))))</f>
        <v>8400</v>
      </c>
    </row>
    <row r="9" spans="1:66" ht="15">
      <c r="B9" t="s">
        <v>60</v>
      </c>
      <c r="F9" s="28">
        <v>0.13500000000000001</v>
      </c>
      <c r="I9">
        <v>3</v>
      </c>
      <c r="J9" s="40">
        <f t="shared" si="1"/>
        <v>8400</v>
      </c>
      <c r="K9" s="40">
        <f t="shared" si="2"/>
        <v>6000</v>
      </c>
      <c r="R9">
        <v>3</v>
      </c>
      <c r="S9" s="40">
        <f t="shared" si="0"/>
        <v>8400</v>
      </c>
      <c r="T9" s="40">
        <f t="shared" si="0"/>
        <v>6000</v>
      </c>
      <c r="BH9" s="266" t="s">
        <v>129</v>
      </c>
      <c r="BI9" s="266"/>
      <c r="BJ9" s="266"/>
      <c r="BK9" s="266"/>
      <c r="BL9" s="131">
        <f ca="1">+IF($BM$4*BM9/12&gt;2000,2000,$BM$4*BM9/12)</f>
        <v>0</v>
      </c>
      <c r="BM9" s="150" cm="1">
        <f t="array" aca="1" ref="BM9" ca="1">IF(AND(BM2&gt;300,AVERAGE(LARGE($G$28:$G$76,ROW(INDIRECT("1:15"))))&gt;=24000),AVERAGE(LARGE($G$28:$G$76,ROW(INDIRECT("1:15")))),0)</f>
        <v>0</v>
      </c>
      <c r="BN9" s="31"/>
    </row>
    <row r="10" spans="1:66" ht="15">
      <c r="B10" t="s">
        <v>62</v>
      </c>
      <c r="D10"/>
      <c r="E10" s="24"/>
      <c r="F10" s="28">
        <v>0.18</v>
      </c>
      <c r="I10">
        <v>4</v>
      </c>
      <c r="J10" s="40">
        <f t="shared" si="1"/>
        <v>8400</v>
      </c>
      <c r="K10" s="40">
        <f t="shared" si="2"/>
        <v>6000</v>
      </c>
      <c r="R10">
        <v>4</v>
      </c>
      <c r="S10" s="40">
        <f t="shared" si="0"/>
        <v>8400</v>
      </c>
      <c r="T10" s="40">
        <f t="shared" si="0"/>
        <v>6000</v>
      </c>
      <c r="AA10" s="29" t="s">
        <v>114</v>
      </c>
      <c r="AB10" s="22"/>
      <c r="AC10" s="22"/>
      <c r="AK10" s="194"/>
      <c r="AL10" s="194"/>
      <c r="AM10" s="194"/>
      <c r="AN10" s="194"/>
      <c r="AO10" s="194"/>
      <c r="AP10" s="194"/>
      <c r="BH10" s="266" t="s">
        <v>130</v>
      </c>
      <c r="BI10" s="266"/>
      <c r="BJ10" s="266"/>
      <c r="BK10" s="266"/>
      <c r="BL10" s="131">
        <f ca="1">+IF($BM$4*BM10/12&gt;2500,2500,$BM$4*BM10/12)</f>
        <v>0</v>
      </c>
      <c r="BM10" s="150" cm="1">
        <f t="array" aca="1" ref="BM10" ca="1">IF(AND(BM2&gt;360,AVERAGE(LARGE($G$28:$G$76,ROW(INDIRECT("1:20"))))&gt;=30000),AVERAGE(LARGE($G$28:$G$76,ROW(INDIRECT("1:20")))),0)</f>
        <v>0</v>
      </c>
    </row>
    <row r="11" spans="1:66" ht="15.75" thickBot="1">
      <c r="B11" t="s">
        <v>55</v>
      </c>
      <c r="D11"/>
      <c r="E11" s="24"/>
      <c r="F11" s="28">
        <v>0.04</v>
      </c>
      <c r="I11">
        <v>5</v>
      </c>
      <c r="J11" s="40">
        <f t="shared" si="1"/>
        <v>8400</v>
      </c>
      <c r="K11" s="40">
        <f t="shared" si="2"/>
        <v>6000</v>
      </c>
      <c r="R11">
        <v>5</v>
      </c>
      <c r="S11" s="40">
        <f t="shared" si="0"/>
        <v>8400</v>
      </c>
      <c r="T11" s="40">
        <f t="shared" si="0"/>
        <v>6000</v>
      </c>
      <c r="AA11" s="30" t="s">
        <v>35</v>
      </c>
      <c r="AB11" s="22"/>
      <c r="AF11" s="60">
        <f>+F6</f>
        <v>62</v>
      </c>
      <c r="AK11" s="198" t="s">
        <v>118</v>
      </c>
      <c r="AL11" s="194"/>
      <c r="AM11" s="194"/>
      <c r="AN11" s="194"/>
      <c r="AO11" s="198" t="s">
        <v>120</v>
      </c>
      <c r="AP11" s="208" t="s">
        <v>140</v>
      </c>
      <c r="BH11" s="266" t="s">
        <v>131</v>
      </c>
      <c r="BI11" s="266"/>
      <c r="BJ11" s="266"/>
      <c r="BK11" s="266"/>
      <c r="BM11" s="154">
        <f ca="1">+BM5/VLOOKUP(MAX(BL8:BL10),BL8:BM10,2,0)</f>
        <v>0.85</v>
      </c>
    </row>
    <row r="12" spans="1:66" ht="15.75" thickTop="1">
      <c r="B12" t="s">
        <v>56</v>
      </c>
      <c r="D12"/>
      <c r="E12" s="24"/>
      <c r="F12" s="28">
        <v>0.04</v>
      </c>
      <c r="I12">
        <v>6</v>
      </c>
      <c r="J12" s="40">
        <f t="shared" si="1"/>
        <v>8400</v>
      </c>
      <c r="K12" s="40">
        <f t="shared" si="2"/>
        <v>6000</v>
      </c>
      <c r="R12">
        <v>6</v>
      </c>
      <c r="S12" s="40">
        <f t="shared" si="0"/>
        <v>8400</v>
      </c>
      <c r="T12" s="40">
        <f t="shared" si="0"/>
        <v>6000</v>
      </c>
      <c r="AA12" s="65" t="s">
        <v>73</v>
      </c>
      <c r="AB12" s="22"/>
      <c r="AF12" s="32">
        <f>+VLOOKUP(AF11,$AB$28:$AI$76,8,FALSE)</f>
        <v>0</v>
      </c>
      <c r="AG12" s="143" t="s">
        <v>169</v>
      </c>
      <c r="AK12" s="209" t="s">
        <v>112</v>
      </c>
      <c r="AL12" s="210"/>
      <c r="AM12" s="210"/>
      <c r="AN12" s="210"/>
      <c r="AO12" s="211">
        <f>+L18</f>
        <v>595</v>
      </c>
      <c r="AP12" s="212">
        <f>+AO12/(J16/12)</f>
        <v>0.85</v>
      </c>
    </row>
    <row r="13" spans="1:66" ht="15">
      <c r="A13" s="143" t="s">
        <v>153</v>
      </c>
      <c r="B13" t="s">
        <v>57</v>
      </c>
      <c r="D13"/>
      <c r="E13" s="24"/>
      <c r="F13" s="23">
        <v>240</v>
      </c>
      <c r="I13">
        <v>7</v>
      </c>
      <c r="J13" s="40">
        <f t="shared" si="1"/>
        <v>8400</v>
      </c>
      <c r="K13" s="40">
        <f t="shared" si="2"/>
        <v>6000</v>
      </c>
      <c r="R13">
        <v>7</v>
      </c>
      <c r="S13" s="40">
        <f t="shared" si="0"/>
        <v>8400</v>
      </c>
      <c r="T13" s="40">
        <f t="shared" si="0"/>
        <v>6000</v>
      </c>
      <c r="W13" t="s">
        <v>197</v>
      </c>
      <c r="X13" t="s">
        <v>198</v>
      </c>
      <c r="AA13" t="s">
        <v>72</v>
      </c>
      <c r="AF13" s="15">
        <f>+IF(AND($B$20=1,$F$2&lt;&gt;1),100%,IF($F$3="M",VLOOKUP(AF11,descuento!$A$6:$B$32,2,FALSE),VLOOKUP(AF11,descuento!$C$6:$D$32,2,FALSE)))</f>
        <v>1</v>
      </c>
      <c r="AG13" s="15"/>
      <c r="AK13" s="213" t="s">
        <v>113</v>
      </c>
      <c r="AL13" s="194"/>
      <c r="AM13" s="194"/>
      <c r="AN13" s="194"/>
      <c r="AO13" s="214">
        <f>+U22</f>
        <v>542.55031492746457</v>
      </c>
      <c r="AP13" s="215">
        <f>+AO13/(S17/12)</f>
        <v>0.77507187846780656</v>
      </c>
      <c r="AV13" s="65" t="s">
        <v>75</v>
      </c>
      <c r="BB13" s="167">
        <f>+VLOOKUP(AF11,$AW$28:$BE$76,9,FALSE)</f>
        <v>119732.1497800045</v>
      </c>
      <c r="BH13" s="172" t="s">
        <v>106</v>
      </c>
      <c r="BI13" s="173"/>
      <c r="BJ13" s="173"/>
      <c r="BK13" s="173"/>
      <c r="BL13" s="173"/>
      <c r="BM13" s="173"/>
      <c r="BN13" s="173"/>
    </row>
    <row r="14" spans="1:66" ht="15.75" thickBot="1">
      <c r="A14" s="143" t="s">
        <v>155</v>
      </c>
      <c r="B14" t="s">
        <v>58</v>
      </c>
      <c r="D14"/>
      <c r="E14" s="24"/>
      <c r="F14" s="33">
        <v>0.6</v>
      </c>
      <c r="I14">
        <v>8</v>
      </c>
      <c r="J14" s="40">
        <f t="shared" si="1"/>
        <v>8400</v>
      </c>
      <c r="K14" s="40">
        <f t="shared" si="2"/>
        <v>6000</v>
      </c>
      <c r="R14">
        <v>8</v>
      </c>
      <c r="S14" s="40">
        <f t="shared" si="0"/>
        <v>8400</v>
      </c>
      <c r="T14" s="40">
        <f t="shared" si="0"/>
        <v>6000</v>
      </c>
      <c r="W14" t="s">
        <v>199</v>
      </c>
      <c r="X14" t="s">
        <v>200</v>
      </c>
      <c r="AA14" s="65" t="s">
        <v>74</v>
      </c>
      <c r="AF14" s="32">
        <f>+VLOOKUP(AF11,$AL$28:$AT$76,9,FALSE)</f>
        <v>119732.1497800045</v>
      </c>
      <c r="AG14" s="143" t="s">
        <v>170</v>
      </c>
      <c r="AK14" s="216" t="s">
        <v>117</v>
      </c>
      <c r="AL14" s="217"/>
      <c r="AM14" s="218"/>
      <c r="AN14" s="218"/>
      <c r="AO14" s="227">
        <f>+AF17</f>
        <v>617.13915336918922</v>
      </c>
      <c r="AP14" s="219">
        <f>+AO14/(S16/12)</f>
        <v>0.88162736195598457</v>
      </c>
      <c r="AR14" s="15"/>
      <c r="AT14" s="30"/>
      <c r="AV14" s="65" t="s">
        <v>36</v>
      </c>
      <c r="AW14" s="22"/>
      <c r="AX14" s="34"/>
      <c r="BB14" s="176">
        <f>+AF16</f>
        <v>5.1543311842568507</v>
      </c>
    </row>
    <row r="15" spans="1:66" ht="15.75" thickTop="1">
      <c r="A15" s="143" t="s">
        <v>156</v>
      </c>
      <c r="B15" t="s">
        <v>59</v>
      </c>
      <c r="D15"/>
      <c r="E15" s="24"/>
      <c r="F15" s="28">
        <v>1.2500000000000001E-2</v>
      </c>
      <c r="I15">
        <v>9</v>
      </c>
      <c r="J15" s="40">
        <f t="shared" si="1"/>
        <v>8400</v>
      </c>
      <c r="K15" s="40">
        <f t="shared" si="2"/>
        <v>6000</v>
      </c>
      <c r="R15">
        <v>9</v>
      </c>
      <c r="S15" s="40">
        <f t="shared" si="0"/>
        <v>8400</v>
      </c>
      <c r="T15" s="40">
        <f t="shared" si="0"/>
        <v>6000</v>
      </c>
      <c r="W15" t="s">
        <v>201</v>
      </c>
      <c r="AA15" s="65" t="s">
        <v>75</v>
      </c>
      <c r="AF15" s="167">
        <f>+AF14+AF12*AF13</f>
        <v>119732.1497800045</v>
      </c>
      <c r="AG15" s="167" t="s">
        <v>171</v>
      </c>
      <c r="AH15" s="31"/>
      <c r="AK15" s="194" t="s">
        <v>193</v>
      </c>
      <c r="AL15" s="194"/>
      <c r="AM15" s="194"/>
      <c r="AN15" s="194"/>
      <c r="AO15" s="220">
        <f>+BB15</f>
        <v>617.13915336918922</v>
      </c>
      <c r="AP15" s="221">
        <f>+AO15/(S17/12)</f>
        <v>0.88162736195598457</v>
      </c>
      <c r="AQ15" s="148"/>
      <c r="AT15" s="64"/>
      <c r="AV15" s="65" t="s">
        <v>176</v>
      </c>
      <c r="BB15" s="86">
        <f>+BB13*0.001*BB14</f>
        <v>617.13915336918922</v>
      </c>
      <c r="BH15" t="s">
        <v>143</v>
      </c>
      <c r="BM15" s="13">
        <f t="array" aca="1" ref="BM15" ca="1">+AVERAGE(LARGE($L$28:$L$76,ROW(INDIRECT("1:10"))))</f>
        <v>6000</v>
      </c>
    </row>
    <row r="16" spans="1:66" ht="15">
      <c r="B16" t="s">
        <v>79</v>
      </c>
      <c r="D16"/>
      <c r="E16" s="24"/>
      <c r="F16" s="73">
        <v>2500</v>
      </c>
      <c r="I16">
        <v>10</v>
      </c>
      <c r="J16" s="40">
        <f t="shared" si="1"/>
        <v>8400</v>
      </c>
      <c r="K16" s="40">
        <f t="shared" si="2"/>
        <v>6000</v>
      </c>
      <c r="R16">
        <v>10</v>
      </c>
      <c r="S16" s="40">
        <f t="shared" si="0"/>
        <v>8400</v>
      </c>
      <c r="T16" s="40">
        <f t="shared" si="0"/>
        <v>6000</v>
      </c>
      <c r="AA16" s="65" t="s">
        <v>36</v>
      </c>
      <c r="AB16" s="22"/>
      <c r="AC16" s="34"/>
      <c r="AF16" s="176">
        <f>+VLOOKUP(AF11,'bases renta'!$K$20:$L$65,2,FALSE)</f>
        <v>5.1543311842568507</v>
      </c>
      <c r="AG16" s="143" t="s">
        <v>172</v>
      </c>
      <c r="AV16" s="65" t="s">
        <v>140</v>
      </c>
      <c r="BB16" s="166">
        <f>+BB15/(J17/12)</f>
        <v>0.88162736195598457</v>
      </c>
      <c r="BH16" t="s">
        <v>107</v>
      </c>
      <c r="BM16" s="144">
        <f ca="1">+BM15*BM4/12</f>
        <v>425</v>
      </c>
    </row>
    <row r="17" spans="2:65" ht="15">
      <c r="B17" t="s">
        <v>103</v>
      </c>
      <c r="D17"/>
      <c r="E17" s="24"/>
      <c r="F17" s="28">
        <v>3.5000000000000003E-2</v>
      </c>
      <c r="H17" s="195" t="s">
        <v>134</v>
      </c>
      <c r="I17" s="143" t="s">
        <v>148</v>
      </c>
      <c r="J17" s="163">
        <f>+AVERAGE(J7:J16)</f>
        <v>8400</v>
      </c>
      <c r="K17" s="163">
        <f>+AVERAGE(K7:K16)</f>
        <v>6000</v>
      </c>
      <c r="L17" s="143"/>
      <c r="P17" s="195"/>
      <c r="Q17" s="143" t="s">
        <v>134</v>
      </c>
      <c r="R17" s="143" t="s">
        <v>148</v>
      </c>
      <c r="S17" s="163">
        <f t="shared" si="0"/>
        <v>8400</v>
      </c>
      <c r="T17" s="163">
        <f t="shared" si="0"/>
        <v>6000</v>
      </c>
      <c r="U17" s="143" t="s">
        <v>162</v>
      </c>
      <c r="Z17" s="195"/>
      <c r="AA17" s="65" t="s">
        <v>176</v>
      </c>
      <c r="AF17" s="86">
        <f>+AF15*0.001*AF16</f>
        <v>617.13915336918922</v>
      </c>
      <c r="AG17" s="175" t="s">
        <v>173</v>
      </c>
      <c r="AH17" s="149"/>
      <c r="BH17" t="s">
        <v>108</v>
      </c>
      <c r="BM17" s="13">
        <f>+VLOOKUP(AF11,$R$28:$Y$76,8,FALSE)</f>
        <v>22806.123767619898</v>
      </c>
    </row>
    <row r="18" spans="2:65" ht="30" customHeight="1">
      <c r="B18" s="20" t="s">
        <v>182</v>
      </c>
      <c r="D18"/>
      <c r="E18" s="24"/>
      <c r="F18" s="28">
        <v>0</v>
      </c>
      <c r="H18" s="196"/>
      <c r="I18" t="s">
        <v>138</v>
      </c>
      <c r="J18" s="163">
        <f>+BM2</f>
        <v>480</v>
      </c>
      <c r="K18" s="164" t="s">
        <v>141</v>
      </c>
      <c r="L18" s="86">
        <f>+MIN(J17*J20/12,F16)</f>
        <v>595</v>
      </c>
      <c r="M18" s="143" t="s">
        <v>158</v>
      </c>
      <c r="N18" s="143"/>
      <c r="P18" s="196"/>
      <c r="R18" t="s">
        <v>138</v>
      </c>
      <c r="S18" s="163">
        <f>+J18</f>
        <v>480</v>
      </c>
      <c r="T18" s="164" t="s">
        <v>144</v>
      </c>
      <c r="U18" s="86">
        <f>+(K17*S20)/12</f>
        <v>425</v>
      </c>
      <c r="V18" s="143" t="s">
        <v>163</v>
      </c>
      <c r="W18" s="39" t="s">
        <v>140</v>
      </c>
      <c r="X18" s="166">
        <f>+U22/(J17/12)</f>
        <v>0.77507187846780656</v>
      </c>
      <c r="Y18" t="s">
        <v>167</v>
      </c>
      <c r="Z18" s="196"/>
      <c r="AA18" s="65" t="s">
        <v>140</v>
      </c>
      <c r="AF18" s="177">
        <f>+AF17/(J17/12)</f>
        <v>0.88162736195598457</v>
      </c>
      <c r="AG18" s="143" t="s">
        <v>174</v>
      </c>
      <c r="AH18" s="31"/>
      <c r="BH18" t="s">
        <v>109</v>
      </c>
      <c r="BM18" s="14">
        <f>+AF16</f>
        <v>5.1543311842568507</v>
      </c>
    </row>
    <row r="19" spans="2:65" ht="72">
      <c r="B19" s="20" t="s">
        <v>183</v>
      </c>
      <c r="F19" s="23">
        <f>+salidaformulas!A10</f>
        <v>700</v>
      </c>
      <c r="H19" s="196" t="s">
        <v>157</v>
      </c>
      <c r="I19" t="s">
        <v>139</v>
      </c>
      <c r="J19" s="163">
        <f>+BM3</f>
        <v>240</v>
      </c>
      <c r="K19" s="21" t="s">
        <v>152</v>
      </c>
      <c r="L19" s="150">
        <f>+F23</f>
        <v>700</v>
      </c>
      <c r="M19" s="143" t="s">
        <v>160</v>
      </c>
      <c r="N19" s="143"/>
      <c r="P19" s="196"/>
      <c r="R19" s="39" t="s">
        <v>139</v>
      </c>
      <c r="S19" s="163">
        <f>+J19</f>
        <v>240</v>
      </c>
      <c r="T19" s="143" t="s">
        <v>145</v>
      </c>
      <c r="U19" s="171">
        <f>+BM17</f>
        <v>22806.123767619898</v>
      </c>
      <c r="V19" s="143" t="s">
        <v>164</v>
      </c>
      <c r="W19" s="39" t="s">
        <v>152</v>
      </c>
      <c r="X19" s="140">
        <f>+L19</f>
        <v>700</v>
      </c>
      <c r="Y19" s="143" t="str">
        <f>+M19</f>
        <v>H</v>
      </c>
      <c r="Z19" s="196"/>
      <c r="AA19" s="65" t="s">
        <v>152</v>
      </c>
      <c r="AF19" s="150">
        <f>+X19</f>
        <v>700</v>
      </c>
      <c r="AG19" s="143" t="s">
        <v>160</v>
      </c>
      <c r="AI19" s="34"/>
      <c r="AJ19" s="34"/>
      <c r="BH19" t="s">
        <v>110</v>
      </c>
      <c r="BM19" s="144">
        <f>+(BM17/1000)*BM18</f>
        <v>117.55031492746458</v>
      </c>
    </row>
    <row r="20" spans="2:65" ht="30">
      <c r="B20" s="20" t="s">
        <v>194</v>
      </c>
      <c r="F20" s="236">
        <v>12</v>
      </c>
      <c r="H20" s="198" t="s">
        <v>159</v>
      </c>
      <c r="I20" s="39" t="s">
        <v>140</v>
      </c>
      <c r="J20" s="165">
        <f>+BM4</f>
        <v>0.85</v>
      </c>
      <c r="K20" s="143" t="s">
        <v>142</v>
      </c>
      <c r="L20" s="166">
        <f>+L18/L19</f>
        <v>0.85</v>
      </c>
      <c r="M20" s="143" t="s">
        <v>161</v>
      </c>
      <c r="N20" s="143"/>
      <c r="Q20" s="143" t="s">
        <v>154</v>
      </c>
      <c r="R20" s="39" t="s">
        <v>140</v>
      </c>
      <c r="S20" s="165">
        <f>+J20</f>
        <v>0.85</v>
      </c>
      <c r="T20" s="169" t="s">
        <v>146</v>
      </c>
      <c r="U20" s="167">
        <f>+BM18</f>
        <v>5.1543311842568507</v>
      </c>
      <c r="V20" s="143" t="s">
        <v>0</v>
      </c>
      <c r="W20" s="39" t="s">
        <v>142</v>
      </c>
      <c r="X20" s="166">
        <f>+U22/L19</f>
        <v>0.77507187846780656</v>
      </c>
      <c r="Y20" s="143" t="s">
        <v>168</v>
      </c>
      <c r="AA20" s="65" t="s">
        <v>142</v>
      </c>
      <c r="AF20" s="166">
        <f>+AF17/L19</f>
        <v>0.88162736195598457</v>
      </c>
      <c r="AG20" s="143" t="s">
        <v>175</v>
      </c>
      <c r="AH20" s="156"/>
      <c r="AS20" s="38"/>
      <c r="BH20" s="143" t="s">
        <v>111</v>
      </c>
      <c r="BM20" s="145">
        <f ca="1">IF(BM2&gt;=240,MAX(BM16+BM19,265),BM16+BM19)</f>
        <v>542.55031492746457</v>
      </c>
    </row>
    <row r="21" spans="2:65" s="34" customFormat="1" ht="30">
      <c r="C21" s="203" t="s">
        <v>195</v>
      </c>
      <c r="F21" s="202">
        <f>+SUMIF(F28:F76,"&gt;0")</f>
        <v>480</v>
      </c>
      <c r="G21" s="168">
        <f>+F21/12</f>
        <v>40</v>
      </c>
      <c r="H21" s="197"/>
      <c r="J21" s="193"/>
      <c r="P21" s="197"/>
      <c r="T21" s="168" t="s">
        <v>110</v>
      </c>
      <c r="U21" s="86">
        <f>+U19*0.001*U20</f>
        <v>117.55031492746458</v>
      </c>
      <c r="V21" s="169" t="s">
        <v>165</v>
      </c>
      <c r="Z21" s="197"/>
      <c r="AH21" s="156"/>
      <c r="AQ21" s="147"/>
      <c r="AR21"/>
      <c r="AS21" s="16"/>
      <c r="AU21" s="197"/>
      <c r="BG21" s="188"/>
      <c r="BH21" s="151" t="s">
        <v>131</v>
      </c>
      <c r="BI21"/>
      <c r="BJ21"/>
      <c r="BK21"/>
      <c r="BM21" s="153">
        <f ca="1">+BM20*12/VLOOKUP(MAX($BL$8:$BL$10),$BL$8:$BN$10,2,0)</f>
        <v>0.77507187846780656</v>
      </c>
    </row>
    <row r="22" spans="2:65" ht="15" customHeight="1">
      <c r="B22" s="23"/>
      <c r="C22" s="29" t="s">
        <v>190</v>
      </c>
      <c r="E22" s="37"/>
      <c r="F22" s="204">
        <f>+AVERAGEIF(G28:G76,"&gt;0")</f>
        <v>8400</v>
      </c>
      <c r="G22" s="150"/>
      <c r="T22" s="143" t="s">
        <v>147</v>
      </c>
      <c r="U22" s="170">
        <f>+U21+U18</f>
        <v>542.55031492746457</v>
      </c>
      <c r="V22" s="143" t="s">
        <v>166</v>
      </c>
      <c r="AS22" s="16"/>
    </row>
    <row r="23" spans="2:65" ht="15">
      <c r="B23" s="61"/>
      <c r="C23" s="29" t="s">
        <v>191</v>
      </c>
      <c r="E23" s="203"/>
      <c r="F23" s="204">
        <f>+F22/12</f>
        <v>700</v>
      </c>
      <c r="G23" s="150"/>
      <c r="I23" s="40"/>
      <c r="T23" s="143" t="s">
        <v>196</v>
      </c>
      <c r="U23" s="231">
        <v>0.04</v>
      </c>
      <c r="AA23" s="20"/>
      <c r="AB23" s="22"/>
      <c r="AC23" s="22"/>
      <c r="AD23" s="34"/>
      <c r="AE23" s="34"/>
      <c r="AF23" s="35"/>
    </row>
    <row r="24" spans="2:65" ht="15.75" thickBot="1">
      <c r="B24" s="264" t="s">
        <v>121</v>
      </c>
      <c r="C24" s="264"/>
      <c r="D24" s="264"/>
      <c r="E24" s="264"/>
      <c r="F24" s="264"/>
      <c r="G24" s="264"/>
      <c r="I24" s="264" t="s">
        <v>122</v>
      </c>
      <c r="J24" s="264"/>
      <c r="K24" s="264"/>
      <c r="L24" s="264"/>
      <c r="M24" s="264"/>
      <c r="N24" s="264"/>
      <c r="O24" s="264"/>
      <c r="Q24" s="264" t="s">
        <v>123</v>
      </c>
      <c r="R24" s="264"/>
      <c r="S24" s="264"/>
      <c r="T24" s="264"/>
      <c r="U24" s="264"/>
      <c r="V24" s="264"/>
      <c r="W24" s="264"/>
      <c r="X24" s="264"/>
      <c r="Y24" s="264"/>
      <c r="AA24" s="264" t="s">
        <v>124</v>
      </c>
      <c r="AB24" s="264"/>
      <c r="AC24" s="264"/>
      <c r="AD24" s="264"/>
      <c r="AE24" s="264"/>
      <c r="AF24" s="264"/>
      <c r="AG24" s="264"/>
      <c r="AH24" s="264"/>
      <c r="AI24" s="264"/>
      <c r="AK24" s="264" t="s">
        <v>125</v>
      </c>
      <c r="AL24" s="264"/>
      <c r="AM24" s="264"/>
      <c r="AN24" s="264"/>
      <c r="AO24" s="264"/>
      <c r="AP24" s="264"/>
      <c r="AQ24" s="264"/>
      <c r="AR24" s="264"/>
      <c r="AS24" s="264"/>
      <c r="AT24" s="264"/>
      <c r="AV24" s="264" t="s">
        <v>126</v>
      </c>
      <c r="AW24" s="264"/>
      <c r="AX24" s="264"/>
      <c r="AY24" s="264"/>
      <c r="AZ24" s="264"/>
      <c r="BA24" s="264"/>
      <c r="BB24" s="264"/>
      <c r="BC24" s="264"/>
      <c r="BD24" s="264"/>
      <c r="BE24" s="264"/>
    </row>
    <row r="25" spans="2:65" ht="16.5" thickTop="1" thickBot="1">
      <c r="B25" s="29" t="s">
        <v>135</v>
      </c>
      <c r="I25" s="143" t="s">
        <v>87</v>
      </c>
      <c r="O25" s="72"/>
      <c r="Q25" s="269" t="s">
        <v>104</v>
      </c>
      <c r="R25" s="269"/>
      <c r="S25" s="269"/>
      <c r="T25" s="269"/>
      <c r="U25" s="269"/>
      <c r="V25" s="269"/>
      <c r="W25" s="269"/>
      <c r="X25" s="269"/>
      <c r="Y25" s="269"/>
      <c r="AA25" s="265" t="s">
        <v>116</v>
      </c>
      <c r="AB25" s="265"/>
      <c r="AC25" s="265"/>
      <c r="AD25" s="265"/>
      <c r="AE25" s="265"/>
      <c r="AF25" s="265"/>
      <c r="AG25" s="265"/>
      <c r="AH25" s="265"/>
      <c r="AI25" s="265"/>
      <c r="AK25" s="265" t="s">
        <v>115</v>
      </c>
      <c r="AL25" s="265"/>
      <c r="AM25" s="265"/>
      <c r="AN25" s="265"/>
      <c r="AO25" s="265"/>
      <c r="AP25" s="265"/>
      <c r="AQ25" s="265"/>
      <c r="AR25" s="265"/>
      <c r="AS25" s="265"/>
      <c r="AT25" s="265"/>
      <c r="AV25" s="265" t="s">
        <v>181</v>
      </c>
      <c r="AW25" s="265"/>
      <c r="AX25" s="265"/>
      <c r="AY25" s="265"/>
      <c r="AZ25" s="265"/>
      <c r="BA25" s="265"/>
      <c r="BB25" s="265"/>
      <c r="BC25" s="265"/>
      <c r="BD25" s="265"/>
      <c r="BE25" s="265"/>
    </row>
    <row r="26" spans="2:65" ht="87" thickTop="1" thickBot="1">
      <c r="B26" s="44" t="s">
        <v>38</v>
      </c>
      <c r="C26" s="41" t="s">
        <v>63</v>
      </c>
      <c r="D26" s="41" t="s">
        <v>40</v>
      </c>
      <c r="E26" s="42" t="s">
        <v>41</v>
      </c>
      <c r="F26" s="41" t="s">
        <v>43</v>
      </c>
      <c r="G26" s="190" t="s">
        <v>42</v>
      </c>
      <c r="H26" s="197"/>
      <c r="I26" s="44" t="s">
        <v>38</v>
      </c>
      <c r="J26" s="42" t="s">
        <v>80</v>
      </c>
      <c r="K26" s="42" t="s">
        <v>43</v>
      </c>
      <c r="L26" s="42" t="s">
        <v>177</v>
      </c>
      <c r="M26" s="42" t="s">
        <v>178</v>
      </c>
      <c r="N26" s="178" t="s">
        <v>179</v>
      </c>
      <c r="O26" s="45" t="s">
        <v>180</v>
      </c>
      <c r="P26" s="197"/>
      <c r="Q26" s="44" t="s">
        <v>38</v>
      </c>
      <c r="R26" s="41" t="s">
        <v>39</v>
      </c>
      <c r="S26" s="41" t="s">
        <v>69</v>
      </c>
      <c r="T26" s="41" t="s">
        <v>64</v>
      </c>
      <c r="U26" s="41" t="s">
        <v>105</v>
      </c>
      <c r="V26" s="41" t="s">
        <v>100</v>
      </c>
      <c r="W26" s="42" t="s">
        <v>44</v>
      </c>
      <c r="X26" s="42" t="s">
        <v>45</v>
      </c>
      <c r="Y26" s="43" t="s">
        <v>101</v>
      </c>
      <c r="Z26" s="197"/>
      <c r="AA26" s="44" t="s">
        <v>38</v>
      </c>
      <c r="AB26" s="41" t="s">
        <v>39</v>
      </c>
      <c r="AC26" s="41" t="s">
        <v>69</v>
      </c>
      <c r="AD26" s="41" t="s">
        <v>64</v>
      </c>
      <c r="AE26" s="41" t="s">
        <v>102</v>
      </c>
      <c r="AF26" s="41" t="s">
        <v>100</v>
      </c>
      <c r="AG26" s="42" t="s">
        <v>44</v>
      </c>
      <c r="AH26" s="42" t="s">
        <v>45</v>
      </c>
      <c r="AI26" s="43" t="s">
        <v>101</v>
      </c>
      <c r="AK26" s="44" t="s">
        <v>38</v>
      </c>
      <c r="AL26" s="41" t="s">
        <v>39</v>
      </c>
      <c r="AM26" s="41" t="s">
        <v>69</v>
      </c>
      <c r="AN26" s="41" t="s">
        <v>64</v>
      </c>
      <c r="AO26" s="41" t="s">
        <v>65</v>
      </c>
      <c r="AP26" s="41" t="s">
        <v>192</v>
      </c>
      <c r="AQ26" s="41" t="s">
        <v>100</v>
      </c>
      <c r="AR26" s="42" t="s">
        <v>44</v>
      </c>
      <c r="AS26" s="42" t="s">
        <v>45</v>
      </c>
      <c r="AT26" s="66" t="s">
        <v>100</v>
      </c>
      <c r="AV26" s="44" t="s">
        <v>38</v>
      </c>
      <c r="AW26" s="41" t="s">
        <v>39</v>
      </c>
      <c r="AX26" s="41" t="s">
        <v>69</v>
      </c>
      <c r="AY26" s="41" t="s">
        <v>64</v>
      </c>
      <c r="AZ26" s="41" t="s">
        <v>65</v>
      </c>
      <c r="BA26" s="41" t="s">
        <v>192</v>
      </c>
      <c r="BB26" s="41" t="s">
        <v>100</v>
      </c>
      <c r="BC26" s="42" t="s">
        <v>44</v>
      </c>
      <c r="BD26" s="42" t="s">
        <v>45</v>
      </c>
      <c r="BE26" s="66" t="s">
        <v>100</v>
      </c>
    </row>
    <row r="27" spans="2:65" ht="15.75" thickTop="1" thickBot="1">
      <c r="B27" s="46"/>
      <c r="G27" s="191"/>
      <c r="I27" s="46"/>
      <c r="J27" s="46"/>
      <c r="K27" s="46"/>
      <c r="L27" s="46"/>
      <c r="M27" s="46"/>
      <c r="N27" s="46"/>
      <c r="O27" s="20"/>
      <c r="Q27" s="46"/>
      <c r="R27" s="20"/>
      <c r="S27" s="20"/>
      <c r="T27" s="20"/>
      <c r="U27" s="20"/>
      <c r="V27" s="20"/>
      <c r="W27" s="22"/>
      <c r="X27" s="22"/>
      <c r="AA27" s="46"/>
      <c r="AB27" s="20"/>
      <c r="AC27" s="20"/>
      <c r="AD27" s="20"/>
      <c r="AE27" s="20"/>
      <c r="AF27" s="20"/>
      <c r="AG27" s="22"/>
      <c r="AH27" s="22"/>
      <c r="AK27" s="46"/>
      <c r="AL27" s="20"/>
      <c r="AM27" s="20"/>
      <c r="AN27" s="20"/>
      <c r="AO27" s="20"/>
      <c r="AP27" s="20"/>
      <c r="AQ27" s="20"/>
      <c r="AR27" s="22"/>
      <c r="AS27" s="22"/>
      <c r="AV27" s="46"/>
      <c r="AW27" s="20"/>
      <c r="AX27" s="20"/>
      <c r="AY27" s="20"/>
      <c r="AZ27" s="20"/>
      <c r="BA27" s="20"/>
      <c r="BB27" s="20"/>
      <c r="BC27" s="22"/>
      <c r="BD27" s="22"/>
    </row>
    <row r="28" spans="2:65" ht="15.75" thickTop="1" thickBot="1">
      <c r="B28" s="57">
        <v>1</v>
      </c>
      <c r="C28" s="48">
        <f>+F4</f>
        <v>22</v>
      </c>
      <c r="D28" s="184">
        <v>1</v>
      </c>
      <c r="E28" s="48">
        <f>+IF($C28&gt;=$F$6,0,$F$19*D28)</f>
        <v>700</v>
      </c>
      <c r="F28" s="205">
        <f>+IF($C28&gt;=$F$6,0,$F$20)</f>
        <v>12</v>
      </c>
      <c r="G28" s="192">
        <f>+E28*F28</f>
        <v>8400</v>
      </c>
      <c r="I28" s="57">
        <f>+B28</f>
        <v>1</v>
      </c>
      <c r="J28" s="75">
        <f>+C28</f>
        <v>22</v>
      </c>
      <c r="K28" s="75">
        <f t="shared" ref="K28:K76" si="3">+IF(AL28&lt;=$AF$11,1,0)*F28</f>
        <v>12</v>
      </c>
      <c r="L28" s="48">
        <f>+IF(AL28&gt;$AF$11,0,IF(E28&gt;500,500*F28,E28*F28))</f>
        <v>6000</v>
      </c>
      <c r="M28" s="75">
        <f t="shared" ref="M28:M76" si="4">+IF(AL28&gt;$AF$11,0,IF(G28-L28 &lt;= 0,0,G28-L28))</f>
        <v>2400</v>
      </c>
      <c r="N28" s="75">
        <f>+IF($F$7&lt;7,L28+M28,IF(AL28&gt;$AF$11,0,IF($F$2=1,IF($J28&lt;$F$5,IF(G28&lt;=$F$16*12,G28,$F$16*12),G28),G28)))</f>
        <v>8400</v>
      </c>
      <c r="O28" s="179">
        <f>+IFERROR(N28/K28,0)</f>
        <v>700</v>
      </c>
      <c r="Q28" s="57">
        <f t="shared" ref="Q28:Q76" si="5">+I28</f>
        <v>1</v>
      </c>
      <c r="R28" s="87">
        <f t="shared" ref="R28:R76" si="6">+J28+1</f>
        <v>23</v>
      </c>
      <c r="S28" s="87">
        <f t="shared" ref="S28:S76" si="7">+IF(R28&lt;=$AF$11,1,0)</f>
        <v>1</v>
      </c>
      <c r="T28" s="141">
        <f>+$F$9-$F$17</f>
        <v>0.1</v>
      </c>
      <c r="U28" s="87">
        <f t="shared" ref="U28:U76" si="8">+M28</f>
        <v>2400</v>
      </c>
      <c r="V28" s="87">
        <f>+Y27</f>
        <v>0</v>
      </c>
      <c r="W28" s="87">
        <f>+T28*U28*S28</f>
        <v>240</v>
      </c>
      <c r="X28" s="87">
        <f>+$U$23*V28</f>
        <v>0</v>
      </c>
      <c r="Y28" s="142">
        <f>+(V28+W28+X28)</f>
        <v>240</v>
      </c>
      <c r="AA28" s="57">
        <f t="shared" ref="AA28:AA76" si="9">+B28</f>
        <v>1</v>
      </c>
      <c r="AB28" s="48">
        <f t="shared" ref="AB28:AB76" si="10">+C28+1</f>
        <v>23</v>
      </c>
      <c r="AC28" s="48">
        <f t="shared" ref="AC28:AC76" si="11">+IF(C28&lt;$F$5,1,0)</f>
        <v>0</v>
      </c>
      <c r="AD28" s="50">
        <f>F8</f>
        <v>0.15</v>
      </c>
      <c r="AE28" s="48">
        <f t="shared" ref="AE28:AE76" si="12">+IF($F$2=1,IF(G28&lt;=2500*12,G28,2500*12),G28)</f>
        <v>8400</v>
      </c>
      <c r="AF28" s="48">
        <f>+AI27</f>
        <v>0</v>
      </c>
      <c r="AG28" s="48">
        <f>+AD28*AE28*$AC28</f>
        <v>0</v>
      </c>
      <c r="AH28" s="48">
        <f t="shared" ref="AH28:AH76" si="13">+AF28*$F$11</f>
        <v>0</v>
      </c>
      <c r="AI28" s="49">
        <f>+(AF28+AG28+AH28)</f>
        <v>0</v>
      </c>
      <c r="AK28" s="57">
        <f>+AA28</f>
        <v>1</v>
      </c>
      <c r="AL28" s="48">
        <f>+AB28</f>
        <v>23</v>
      </c>
      <c r="AM28" s="48">
        <f t="shared" ref="AM28:AM65" si="14">+IF($C28&gt;=$F$5,1,0)</f>
        <v>1</v>
      </c>
      <c r="AN28" s="50">
        <f t="shared" ref="AN28:AN76" si="15">+$F$9*AM28</f>
        <v>0.13500000000000001</v>
      </c>
      <c r="AO28" s="50">
        <f t="shared" ref="AO28:AO76" si="16">+AM28*$F$10</f>
        <v>0.18</v>
      </c>
      <c r="AP28" s="207">
        <f>+G28</f>
        <v>8400</v>
      </c>
      <c r="AQ28" s="48">
        <f>+AT27</f>
        <v>0</v>
      </c>
      <c r="AR28" s="52">
        <f>+(AN28*AP28+AO28*(AP28/12))*AM28</f>
        <v>1260</v>
      </c>
      <c r="AS28" s="48">
        <f>+AQ28*$F$12</f>
        <v>0</v>
      </c>
      <c r="AT28" s="49">
        <f>+(AQ28+AR28+AS28)</f>
        <v>1260</v>
      </c>
      <c r="AV28" s="57">
        <f t="shared" ref="AV28:AW59" si="17">+AK28</f>
        <v>1</v>
      </c>
      <c r="AW28" s="48">
        <f t="shared" si="17"/>
        <v>23</v>
      </c>
      <c r="AX28" s="48">
        <v>1</v>
      </c>
      <c r="AY28" s="50">
        <f t="shared" ref="AY28:AY76" si="18">+$F$9*AX28</f>
        <v>0.13500000000000001</v>
      </c>
      <c r="AZ28" s="50">
        <f t="shared" ref="AZ28:AZ76" si="19">+AX28*$F$10</f>
        <v>0.18</v>
      </c>
      <c r="BA28" s="207">
        <f>+G28</f>
        <v>8400</v>
      </c>
      <c r="BB28" s="48">
        <f>+BE27</f>
        <v>0</v>
      </c>
      <c r="BC28" s="48">
        <f>+(AY28*BA28+AZ28*(BA28/12))*AX28</f>
        <v>1260</v>
      </c>
      <c r="BD28" s="48">
        <f>+BB28*$F$12</f>
        <v>0</v>
      </c>
      <c r="BE28" s="49">
        <f>+(BB28+BC28+BD28)</f>
        <v>1260</v>
      </c>
    </row>
    <row r="29" spans="2:65" ht="15.75" thickTop="1" thickBot="1">
      <c r="B29" s="58">
        <f t="shared" ref="B29:C44" si="20">+B28+1</f>
        <v>2</v>
      </c>
      <c r="C29" s="52">
        <f t="shared" si="20"/>
        <v>23</v>
      </c>
      <c r="D29" s="185">
        <f>+D28*(1+$F$18)</f>
        <v>1</v>
      </c>
      <c r="E29" s="48">
        <f t="shared" ref="E29:E76" si="21">+IF($C29&gt;=$F$6,0,$F$19*D29)</f>
        <v>700</v>
      </c>
      <c r="F29" s="205">
        <f t="shared" ref="F29:F76" si="22">+IF($C29&gt;=$F$6,0,$F$20)</f>
        <v>12</v>
      </c>
      <c r="G29" s="192">
        <f t="shared" ref="G29:G76" si="23">+E29*F29</f>
        <v>8400</v>
      </c>
      <c r="I29" s="58">
        <f t="shared" ref="I29:I76" si="24">+I28+1</f>
        <v>2</v>
      </c>
      <c r="J29" s="74">
        <f t="shared" ref="J29:J76" si="25">+C29</f>
        <v>23</v>
      </c>
      <c r="K29" s="74">
        <f t="shared" si="3"/>
        <v>12</v>
      </c>
      <c r="L29" s="52">
        <f t="shared" ref="L29:L76" si="26">+IF(AL29&gt;$AF$11,0,IF(E29&gt;500,500*F29,E29*F29))</f>
        <v>6000</v>
      </c>
      <c r="M29" s="74">
        <f t="shared" si="4"/>
        <v>2400</v>
      </c>
      <c r="N29" s="74">
        <f t="shared" ref="N29:N76" si="27">+IF($F$7&lt;7,L29+M29,IF(AL29&gt;$AF$11,0,IF($F$2=1,IF($J29&lt;$F$5,IF(G29&lt;=$F$16*12,G29,$F$16*12),G29),G29)))</f>
        <v>8400</v>
      </c>
      <c r="O29" s="180">
        <f t="shared" ref="O29:O76" si="28">+IFERROR(N29/K29,0)</f>
        <v>700</v>
      </c>
      <c r="Q29" s="58">
        <f t="shared" si="5"/>
        <v>2</v>
      </c>
      <c r="R29" s="52">
        <f t="shared" si="6"/>
        <v>24</v>
      </c>
      <c r="S29" s="52">
        <f t="shared" si="7"/>
        <v>1</v>
      </c>
      <c r="T29" s="54">
        <f>+T28</f>
        <v>0.1</v>
      </c>
      <c r="U29" s="52">
        <f t="shared" si="8"/>
        <v>2400</v>
      </c>
      <c r="V29" s="52">
        <f t="shared" ref="V29:V76" si="29">+Y28</f>
        <v>240</v>
      </c>
      <c r="W29" s="52">
        <f t="shared" ref="W29:W76" si="30">+T29*U29*S29</f>
        <v>240</v>
      </c>
      <c r="X29" s="87">
        <f t="shared" ref="X29:X76" si="31">+$U$23*V29</f>
        <v>9.6</v>
      </c>
      <c r="Y29" s="53">
        <f t="shared" ref="Y29:Y76" si="32">+(V29+W29+X29)</f>
        <v>489.6</v>
      </c>
      <c r="AA29" s="58">
        <f t="shared" si="9"/>
        <v>2</v>
      </c>
      <c r="AB29" s="52">
        <f t="shared" si="10"/>
        <v>24</v>
      </c>
      <c r="AC29" s="52">
        <f t="shared" si="11"/>
        <v>0</v>
      </c>
      <c r="AD29" s="54">
        <f>+AD28</f>
        <v>0.15</v>
      </c>
      <c r="AE29" s="52">
        <f t="shared" si="12"/>
        <v>8400</v>
      </c>
      <c r="AF29" s="52">
        <f t="shared" ref="AF29:AF76" si="33">+AI28</f>
        <v>0</v>
      </c>
      <c r="AG29" s="52">
        <f t="shared" ref="AG29:AG76" si="34">+AD29*AE29*$AC29</f>
        <v>0</v>
      </c>
      <c r="AH29" s="52">
        <f t="shared" si="13"/>
        <v>0</v>
      </c>
      <c r="AI29" s="53">
        <f t="shared" ref="AI29:AI76" si="35">+(AF29+AG29+AH29)</f>
        <v>0</v>
      </c>
      <c r="AK29" s="58">
        <f t="shared" ref="AK29:AL76" si="36">+AA29</f>
        <v>2</v>
      </c>
      <c r="AL29" s="52">
        <f t="shared" si="36"/>
        <v>24</v>
      </c>
      <c r="AM29" s="52">
        <f t="shared" si="14"/>
        <v>1</v>
      </c>
      <c r="AN29" s="54">
        <f t="shared" si="15"/>
        <v>0.13500000000000001</v>
      </c>
      <c r="AO29" s="54">
        <f t="shared" si="16"/>
        <v>0.18</v>
      </c>
      <c r="AP29" s="207">
        <f t="shared" ref="AP29:AP76" si="37">+G29</f>
        <v>8400</v>
      </c>
      <c r="AQ29" s="52">
        <f t="shared" ref="AQ29:AQ76" si="38">+AT28</f>
        <v>1260</v>
      </c>
      <c r="AR29" s="52">
        <f t="shared" ref="AR29:AR76" si="39">+(AN29*AP29+AO29*(AP29/12))*AM29</f>
        <v>1260</v>
      </c>
      <c r="AS29" s="48">
        <f t="shared" ref="AS29:AS76" si="40">+AQ29*$F$12</f>
        <v>50.4</v>
      </c>
      <c r="AT29" s="53">
        <f t="shared" ref="AT29:AT76" si="41">+(AQ29+AR29+AS29)</f>
        <v>2570.4</v>
      </c>
      <c r="AV29" s="58">
        <f t="shared" si="17"/>
        <v>2</v>
      </c>
      <c r="AW29" s="52">
        <f t="shared" si="17"/>
        <v>24</v>
      </c>
      <c r="AX29" s="48">
        <v>1</v>
      </c>
      <c r="AY29" s="54">
        <f t="shared" si="18"/>
        <v>0.13500000000000001</v>
      </c>
      <c r="AZ29" s="54">
        <f t="shared" si="19"/>
        <v>0.18</v>
      </c>
      <c r="BA29" s="207">
        <f t="shared" ref="BA29:BA76" si="42">+G29</f>
        <v>8400</v>
      </c>
      <c r="BB29" s="52">
        <f t="shared" ref="BB29:BB76" si="43">+BE28</f>
        <v>1260</v>
      </c>
      <c r="BC29" s="48">
        <f t="shared" ref="BC29:BC76" si="44">+(AY29*BA29+AZ29*(BA29/12))*AX29</f>
        <v>1260</v>
      </c>
      <c r="BD29" s="48">
        <f t="shared" ref="BD29:BD76" si="45">+BB29*$F$12</f>
        <v>50.4</v>
      </c>
      <c r="BE29" s="53">
        <f t="shared" ref="BE29:BE76" si="46">+(BB29+BC29+BD29)</f>
        <v>2570.4</v>
      </c>
    </row>
    <row r="30" spans="2:65" ht="15.75" thickTop="1" thickBot="1">
      <c r="B30" s="58">
        <f t="shared" si="20"/>
        <v>3</v>
      </c>
      <c r="C30" s="52">
        <f t="shared" si="20"/>
        <v>24</v>
      </c>
      <c r="D30" s="185">
        <f t="shared" ref="D30:D76" si="47">+D29*(1+$F$18)</f>
        <v>1</v>
      </c>
      <c r="E30" s="48">
        <f t="shared" si="21"/>
        <v>700</v>
      </c>
      <c r="F30" s="205">
        <f t="shared" si="22"/>
        <v>12</v>
      </c>
      <c r="G30" s="192">
        <f t="shared" si="23"/>
        <v>8400</v>
      </c>
      <c r="I30" s="58">
        <f t="shared" si="24"/>
        <v>3</v>
      </c>
      <c r="J30" s="74">
        <f t="shared" si="25"/>
        <v>24</v>
      </c>
      <c r="K30" s="74">
        <f t="shared" si="3"/>
        <v>12</v>
      </c>
      <c r="L30" s="52">
        <f t="shared" si="26"/>
        <v>6000</v>
      </c>
      <c r="M30" s="74">
        <f t="shared" si="4"/>
        <v>2400</v>
      </c>
      <c r="N30" s="74">
        <f t="shared" si="27"/>
        <v>8400</v>
      </c>
      <c r="O30" s="180">
        <f t="shared" si="28"/>
        <v>700</v>
      </c>
      <c r="Q30" s="58">
        <f t="shared" si="5"/>
        <v>3</v>
      </c>
      <c r="R30" s="52">
        <f t="shared" si="6"/>
        <v>25</v>
      </c>
      <c r="S30" s="52">
        <f t="shared" si="7"/>
        <v>1</v>
      </c>
      <c r="T30" s="54">
        <f t="shared" ref="T30:T76" si="48">+T29</f>
        <v>0.1</v>
      </c>
      <c r="U30" s="52">
        <f t="shared" si="8"/>
        <v>2400</v>
      </c>
      <c r="V30" s="52">
        <f t="shared" si="29"/>
        <v>489.6</v>
      </c>
      <c r="W30" s="52">
        <f t="shared" si="30"/>
        <v>240</v>
      </c>
      <c r="X30" s="87">
        <f t="shared" si="31"/>
        <v>19.584</v>
      </c>
      <c r="Y30" s="53">
        <f t="shared" si="32"/>
        <v>749.18399999999997</v>
      </c>
      <c r="AA30" s="58">
        <f t="shared" si="9"/>
        <v>3</v>
      </c>
      <c r="AB30" s="52">
        <f t="shared" si="10"/>
        <v>25</v>
      </c>
      <c r="AC30" s="52">
        <f t="shared" si="11"/>
        <v>0</v>
      </c>
      <c r="AD30" s="54">
        <f t="shared" ref="AD30:AD76" si="49">+AD29</f>
        <v>0.15</v>
      </c>
      <c r="AE30" s="52">
        <f t="shared" si="12"/>
        <v>8400</v>
      </c>
      <c r="AF30" s="52">
        <f t="shared" si="33"/>
        <v>0</v>
      </c>
      <c r="AG30" s="52">
        <f t="shared" si="34"/>
        <v>0</v>
      </c>
      <c r="AH30" s="52">
        <f t="shared" si="13"/>
        <v>0</v>
      </c>
      <c r="AI30" s="53">
        <f t="shared" si="35"/>
        <v>0</v>
      </c>
      <c r="AK30" s="58">
        <f t="shared" si="36"/>
        <v>3</v>
      </c>
      <c r="AL30" s="52">
        <f t="shared" si="36"/>
        <v>25</v>
      </c>
      <c r="AM30" s="52">
        <f t="shared" si="14"/>
        <v>1</v>
      </c>
      <c r="AN30" s="54">
        <f t="shared" si="15"/>
        <v>0.13500000000000001</v>
      </c>
      <c r="AO30" s="54">
        <f t="shared" si="16"/>
        <v>0.18</v>
      </c>
      <c r="AP30" s="207">
        <f t="shared" si="37"/>
        <v>8400</v>
      </c>
      <c r="AQ30" s="52">
        <f t="shared" si="38"/>
        <v>2570.4</v>
      </c>
      <c r="AR30" s="52">
        <f t="shared" si="39"/>
        <v>1260</v>
      </c>
      <c r="AS30" s="48">
        <f t="shared" si="40"/>
        <v>102.816</v>
      </c>
      <c r="AT30" s="53">
        <f t="shared" si="41"/>
        <v>3933.2159999999999</v>
      </c>
      <c r="AV30" s="58">
        <f t="shared" si="17"/>
        <v>3</v>
      </c>
      <c r="AW30" s="52">
        <f t="shared" si="17"/>
        <v>25</v>
      </c>
      <c r="AX30" s="48">
        <v>1</v>
      </c>
      <c r="AY30" s="54">
        <f t="shared" si="18"/>
        <v>0.13500000000000001</v>
      </c>
      <c r="AZ30" s="54">
        <f t="shared" si="19"/>
        <v>0.18</v>
      </c>
      <c r="BA30" s="207">
        <f t="shared" si="42"/>
        <v>8400</v>
      </c>
      <c r="BB30" s="52">
        <f t="shared" si="43"/>
        <v>2570.4</v>
      </c>
      <c r="BC30" s="48">
        <f t="shared" si="44"/>
        <v>1260</v>
      </c>
      <c r="BD30" s="48">
        <f t="shared" si="45"/>
        <v>102.816</v>
      </c>
      <c r="BE30" s="53">
        <f t="shared" si="46"/>
        <v>3933.2159999999999</v>
      </c>
    </row>
    <row r="31" spans="2:65" ht="15.75" thickTop="1" thickBot="1">
      <c r="B31" s="58">
        <f t="shared" si="20"/>
        <v>4</v>
      </c>
      <c r="C31" s="52">
        <f t="shared" si="20"/>
        <v>25</v>
      </c>
      <c r="D31" s="185">
        <f t="shared" si="47"/>
        <v>1</v>
      </c>
      <c r="E31" s="48">
        <f t="shared" si="21"/>
        <v>700</v>
      </c>
      <c r="F31" s="205">
        <f t="shared" si="22"/>
        <v>12</v>
      </c>
      <c r="G31" s="192">
        <f t="shared" si="23"/>
        <v>8400</v>
      </c>
      <c r="I31" s="58">
        <f t="shared" si="24"/>
        <v>4</v>
      </c>
      <c r="J31" s="74">
        <f t="shared" si="25"/>
        <v>25</v>
      </c>
      <c r="K31" s="74">
        <f t="shared" si="3"/>
        <v>12</v>
      </c>
      <c r="L31" s="52">
        <f t="shared" si="26"/>
        <v>6000</v>
      </c>
      <c r="M31" s="74">
        <f t="shared" si="4"/>
        <v>2400</v>
      </c>
      <c r="N31" s="74">
        <f t="shared" si="27"/>
        <v>8400</v>
      </c>
      <c r="O31" s="180">
        <f t="shared" si="28"/>
        <v>700</v>
      </c>
      <c r="Q31" s="58">
        <f t="shared" si="5"/>
        <v>4</v>
      </c>
      <c r="R31" s="52">
        <f t="shared" si="6"/>
        <v>26</v>
      </c>
      <c r="S31" s="52">
        <f t="shared" si="7"/>
        <v>1</v>
      </c>
      <c r="T31" s="54">
        <f t="shared" si="48"/>
        <v>0.1</v>
      </c>
      <c r="U31" s="52">
        <f t="shared" si="8"/>
        <v>2400</v>
      </c>
      <c r="V31" s="52">
        <f t="shared" si="29"/>
        <v>749.18399999999997</v>
      </c>
      <c r="W31" s="52">
        <f t="shared" si="30"/>
        <v>240</v>
      </c>
      <c r="X31" s="87">
        <f t="shared" si="31"/>
        <v>29.967359999999999</v>
      </c>
      <c r="Y31" s="53">
        <f t="shared" si="32"/>
        <v>1019.15136</v>
      </c>
      <c r="AA31" s="58">
        <f t="shared" si="9"/>
        <v>4</v>
      </c>
      <c r="AB31" s="52">
        <f t="shared" si="10"/>
        <v>26</v>
      </c>
      <c r="AC31" s="52">
        <f t="shared" si="11"/>
        <v>0</v>
      </c>
      <c r="AD31" s="54">
        <f t="shared" si="49"/>
        <v>0.15</v>
      </c>
      <c r="AE31" s="52">
        <f t="shared" si="12"/>
        <v>8400</v>
      </c>
      <c r="AF31" s="52">
        <f t="shared" si="33"/>
        <v>0</v>
      </c>
      <c r="AG31" s="52">
        <f t="shared" si="34"/>
        <v>0</v>
      </c>
      <c r="AH31" s="52">
        <f t="shared" si="13"/>
        <v>0</v>
      </c>
      <c r="AI31" s="53">
        <f t="shared" si="35"/>
        <v>0</v>
      </c>
      <c r="AK31" s="58">
        <f t="shared" si="36"/>
        <v>4</v>
      </c>
      <c r="AL31" s="52">
        <f t="shared" si="36"/>
        <v>26</v>
      </c>
      <c r="AM31" s="52">
        <f t="shared" si="14"/>
        <v>1</v>
      </c>
      <c r="AN31" s="54">
        <f t="shared" si="15"/>
        <v>0.13500000000000001</v>
      </c>
      <c r="AO31" s="54">
        <f t="shared" si="16"/>
        <v>0.18</v>
      </c>
      <c r="AP31" s="207">
        <f t="shared" si="37"/>
        <v>8400</v>
      </c>
      <c r="AQ31" s="52">
        <f t="shared" si="38"/>
        <v>3933.2159999999999</v>
      </c>
      <c r="AR31" s="52">
        <f t="shared" si="39"/>
        <v>1260</v>
      </c>
      <c r="AS31" s="48">
        <f t="shared" si="40"/>
        <v>157.32864000000001</v>
      </c>
      <c r="AT31" s="53">
        <f t="shared" si="41"/>
        <v>5350.5446400000001</v>
      </c>
      <c r="AV31" s="58">
        <f t="shared" si="17"/>
        <v>4</v>
      </c>
      <c r="AW31" s="52">
        <f t="shared" si="17"/>
        <v>26</v>
      </c>
      <c r="AX31" s="48">
        <v>1</v>
      </c>
      <c r="AY31" s="54">
        <f t="shared" si="18"/>
        <v>0.13500000000000001</v>
      </c>
      <c r="AZ31" s="54">
        <f t="shared" si="19"/>
        <v>0.18</v>
      </c>
      <c r="BA31" s="207">
        <f t="shared" si="42"/>
        <v>8400</v>
      </c>
      <c r="BB31" s="52">
        <f t="shared" si="43"/>
        <v>3933.2159999999999</v>
      </c>
      <c r="BC31" s="48">
        <f t="shared" si="44"/>
        <v>1260</v>
      </c>
      <c r="BD31" s="48">
        <f t="shared" si="45"/>
        <v>157.32864000000001</v>
      </c>
      <c r="BE31" s="53">
        <f t="shared" si="46"/>
        <v>5350.5446400000001</v>
      </c>
    </row>
    <row r="32" spans="2:65" ht="15.75" thickTop="1" thickBot="1">
      <c r="B32" s="58">
        <f t="shared" si="20"/>
        <v>5</v>
      </c>
      <c r="C32" s="52">
        <f t="shared" si="20"/>
        <v>26</v>
      </c>
      <c r="D32" s="185">
        <f t="shared" si="47"/>
        <v>1</v>
      </c>
      <c r="E32" s="48">
        <f t="shared" si="21"/>
        <v>700</v>
      </c>
      <c r="F32" s="205">
        <f t="shared" si="22"/>
        <v>12</v>
      </c>
      <c r="G32" s="192">
        <f t="shared" si="23"/>
        <v>8400</v>
      </c>
      <c r="I32" s="58">
        <f t="shared" si="24"/>
        <v>5</v>
      </c>
      <c r="J32" s="74">
        <f t="shared" si="25"/>
        <v>26</v>
      </c>
      <c r="K32" s="74">
        <f t="shared" si="3"/>
        <v>12</v>
      </c>
      <c r="L32" s="52">
        <f t="shared" si="26"/>
        <v>6000</v>
      </c>
      <c r="M32" s="74">
        <f t="shared" si="4"/>
        <v>2400</v>
      </c>
      <c r="N32" s="74">
        <f t="shared" si="27"/>
        <v>8400</v>
      </c>
      <c r="O32" s="180">
        <f t="shared" si="28"/>
        <v>700</v>
      </c>
      <c r="Q32" s="58">
        <f t="shared" si="5"/>
        <v>5</v>
      </c>
      <c r="R32" s="52">
        <f t="shared" si="6"/>
        <v>27</v>
      </c>
      <c r="S32" s="52">
        <f t="shared" si="7"/>
        <v>1</v>
      </c>
      <c r="T32" s="54">
        <f t="shared" si="48"/>
        <v>0.1</v>
      </c>
      <c r="U32" s="52">
        <f t="shared" si="8"/>
        <v>2400</v>
      </c>
      <c r="V32" s="52">
        <f t="shared" si="29"/>
        <v>1019.15136</v>
      </c>
      <c r="W32" s="52">
        <f t="shared" si="30"/>
        <v>240</v>
      </c>
      <c r="X32" s="87">
        <f t="shared" si="31"/>
        <v>40.766054400000002</v>
      </c>
      <c r="Y32" s="53">
        <f t="shared" si="32"/>
        <v>1299.9174143999999</v>
      </c>
      <c r="AA32" s="58">
        <f t="shared" si="9"/>
        <v>5</v>
      </c>
      <c r="AB32" s="52">
        <f t="shared" si="10"/>
        <v>27</v>
      </c>
      <c r="AC32" s="52">
        <f t="shared" si="11"/>
        <v>0</v>
      </c>
      <c r="AD32" s="54">
        <f t="shared" si="49"/>
        <v>0.15</v>
      </c>
      <c r="AE32" s="52">
        <f t="shared" si="12"/>
        <v>8400</v>
      </c>
      <c r="AF32" s="52">
        <f t="shared" si="33"/>
        <v>0</v>
      </c>
      <c r="AG32" s="52">
        <f t="shared" si="34"/>
        <v>0</v>
      </c>
      <c r="AH32" s="52">
        <f t="shared" si="13"/>
        <v>0</v>
      </c>
      <c r="AI32" s="53">
        <f t="shared" si="35"/>
        <v>0</v>
      </c>
      <c r="AK32" s="58">
        <f t="shared" si="36"/>
        <v>5</v>
      </c>
      <c r="AL32" s="52">
        <f t="shared" si="36"/>
        <v>27</v>
      </c>
      <c r="AM32" s="52">
        <f t="shared" si="14"/>
        <v>1</v>
      </c>
      <c r="AN32" s="54">
        <f t="shared" si="15"/>
        <v>0.13500000000000001</v>
      </c>
      <c r="AO32" s="54">
        <f t="shared" si="16"/>
        <v>0.18</v>
      </c>
      <c r="AP32" s="207">
        <f t="shared" si="37"/>
        <v>8400</v>
      </c>
      <c r="AQ32" s="52">
        <f t="shared" si="38"/>
        <v>5350.5446400000001</v>
      </c>
      <c r="AR32" s="52">
        <f t="shared" si="39"/>
        <v>1260</v>
      </c>
      <c r="AS32" s="48">
        <f t="shared" si="40"/>
        <v>214.02178560000002</v>
      </c>
      <c r="AT32" s="53">
        <f t="shared" si="41"/>
        <v>6824.5664256</v>
      </c>
      <c r="AV32" s="58">
        <f t="shared" si="17"/>
        <v>5</v>
      </c>
      <c r="AW32" s="52">
        <f t="shared" si="17"/>
        <v>27</v>
      </c>
      <c r="AX32" s="48">
        <v>1</v>
      </c>
      <c r="AY32" s="54">
        <f t="shared" si="18"/>
        <v>0.13500000000000001</v>
      </c>
      <c r="AZ32" s="54">
        <f t="shared" si="19"/>
        <v>0.18</v>
      </c>
      <c r="BA32" s="207">
        <f t="shared" si="42"/>
        <v>8400</v>
      </c>
      <c r="BB32" s="52">
        <f t="shared" si="43"/>
        <v>5350.5446400000001</v>
      </c>
      <c r="BC32" s="48">
        <f t="shared" si="44"/>
        <v>1260</v>
      </c>
      <c r="BD32" s="48">
        <f t="shared" si="45"/>
        <v>214.02178560000002</v>
      </c>
      <c r="BE32" s="53">
        <f t="shared" si="46"/>
        <v>6824.5664256</v>
      </c>
    </row>
    <row r="33" spans="2:57" ht="15.75" thickTop="1" thickBot="1">
      <c r="B33" s="58">
        <f t="shared" si="20"/>
        <v>6</v>
      </c>
      <c r="C33" s="52">
        <f t="shared" si="20"/>
        <v>27</v>
      </c>
      <c r="D33" s="185">
        <f t="shared" si="47"/>
        <v>1</v>
      </c>
      <c r="E33" s="48">
        <f t="shared" si="21"/>
        <v>700</v>
      </c>
      <c r="F33" s="205">
        <f t="shared" si="22"/>
        <v>12</v>
      </c>
      <c r="G33" s="192">
        <f t="shared" si="23"/>
        <v>8400</v>
      </c>
      <c r="I33" s="58">
        <f t="shared" si="24"/>
        <v>6</v>
      </c>
      <c r="J33" s="74">
        <f t="shared" si="25"/>
        <v>27</v>
      </c>
      <c r="K33" s="74">
        <f t="shared" si="3"/>
        <v>12</v>
      </c>
      <c r="L33" s="52">
        <f t="shared" si="26"/>
        <v>6000</v>
      </c>
      <c r="M33" s="74">
        <f t="shared" si="4"/>
        <v>2400</v>
      </c>
      <c r="N33" s="74">
        <f t="shared" si="27"/>
        <v>8400</v>
      </c>
      <c r="O33" s="180">
        <f t="shared" si="28"/>
        <v>700</v>
      </c>
      <c r="Q33" s="58">
        <f t="shared" si="5"/>
        <v>6</v>
      </c>
      <c r="R33" s="52">
        <f t="shared" si="6"/>
        <v>28</v>
      </c>
      <c r="S33" s="52">
        <f t="shared" si="7"/>
        <v>1</v>
      </c>
      <c r="T33" s="54">
        <f t="shared" si="48"/>
        <v>0.1</v>
      </c>
      <c r="U33" s="52">
        <f t="shared" si="8"/>
        <v>2400</v>
      </c>
      <c r="V33" s="52">
        <f t="shared" si="29"/>
        <v>1299.9174143999999</v>
      </c>
      <c r="W33" s="52">
        <f t="shared" si="30"/>
        <v>240</v>
      </c>
      <c r="X33" s="87">
        <f t="shared" si="31"/>
        <v>51.996696575999998</v>
      </c>
      <c r="Y33" s="53">
        <f t="shared" si="32"/>
        <v>1591.9141109759998</v>
      </c>
      <c r="AA33" s="58">
        <f t="shared" si="9"/>
        <v>6</v>
      </c>
      <c r="AB33" s="52">
        <f t="shared" si="10"/>
        <v>28</v>
      </c>
      <c r="AC33" s="52">
        <f t="shared" si="11"/>
        <v>0</v>
      </c>
      <c r="AD33" s="54">
        <f t="shared" si="49"/>
        <v>0.15</v>
      </c>
      <c r="AE33" s="52">
        <f t="shared" si="12"/>
        <v>8400</v>
      </c>
      <c r="AF33" s="52">
        <f t="shared" si="33"/>
        <v>0</v>
      </c>
      <c r="AG33" s="52">
        <f t="shared" si="34"/>
        <v>0</v>
      </c>
      <c r="AH33" s="52">
        <f t="shared" si="13"/>
        <v>0</v>
      </c>
      <c r="AI33" s="53">
        <f t="shared" si="35"/>
        <v>0</v>
      </c>
      <c r="AK33" s="58">
        <f t="shared" si="36"/>
        <v>6</v>
      </c>
      <c r="AL33" s="52">
        <f t="shared" si="36"/>
        <v>28</v>
      </c>
      <c r="AM33" s="52">
        <f t="shared" si="14"/>
        <v>1</v>
      </c>
      <c r="AN33" s="54">
        <f t="shared" si="15"/>
        <v>0.13500000000000001</v>
      </c>
      <c r="AO33" s="54">
        <f t="shared" si="16"/>
        <v>0.18</v>
      </c>
      <c r="AP33" s="207">
        <f t="shared" si="37"/>
        <v>8400</v>
      </c>
      <c r="AQ33" s="52">
        <f t="shared" si="38"/>
        <v>6824.5664256</v>
      </c>
      <c r="AR33" s="52">
        <f t="shared" si="39"/>
        <v>1260</v>
      </c>
      <c r="AS33" s="48">
        <f t="shared" si="40"/>
        <v>272.98265702399999</v>
      </c>
      <c r="AT33" s="53">
        <f t="shared" si="41"/>
        <v>8357.5490826240002</v>
      </c>
      <c r="AV33" s="58">
        <f t="shared" si="17"/>
        <v>6</v>
      </c>
      <c r="AW33" s="52">
        <f t="shared" si="17"/>
        <v>28</v>
      </c>
      <c r="AX33" s="48">
        <v>1</v>
      </c>
      <c r="AY33" s="54">
        <f t="shared" si="18"/>
        <v>0.13500000000000001</v>
      </c>
      <c r="AZ33" s="54">
        <f t="shared" si="19"/>
        <v>0.18</v>
      </c>
      <c r="BA33" s="207">
        <f t="shared" si="42"/>
        <v>8400</v>
      </c>
      <c r="BB33" s="52">
        <f t="shared" si="43"/>
        <v>6824.5664256</v>
      </c>
      <c r="BC33" s="48">
        <f t="shared" si="44"/>
        <v>1260</v>
      </c>
      <c r="BD33" s="48">
        <f t="shared" si="45"/>
        <v>272.98265702399999</v>
      </c>
      <c r="BE33" s="53">
        <f t="shared" si="46"/>
        <v>8357.5490826240002</v>
      </c>
    </row>
    <row r="34" spans="2:57" ht="15.75" thickTop="1" thickBot="1">
      <c r="B34" s="58">
        <f t="shared" si="20"/>
        <v>7</v>
      </c>
      <c r="C34" s="52">
        <f t="shared" si="20"/>
        <v>28</v>
      </c>
      <c r="D34" s="185">
        <f t="shared" si="47"/>
        <v>1</v>
      </c>
      <c r="E34" s="48">
        <f t="shared" si="21"/>
        <v>700</v>
      </c>
      <c r="F34" s="205">
        <f t="shared" si="22"/>
        <v>12</v>
      </c>
      <c r="G34" s="192">
        <f t="shared" si="23"/>
        <v>8400</v>
      </c>
      <c r="I34" s="58">
        <f t="shared" si="24"/>
        <v>7</v>
      </c>
      <c r="J34" s="74">
        <f t="shared" si="25"/>
        <v>28</v>
      </c>
      <c r="K34" s="74">
        <f t="shared" si="3"/>
        <v>12</v>
      </c>
      <c r="L34" s="52">
        <f t="shared" si="26"/>
        <v>6000</v>
      </c>
      <c r="M34" s="74">
        <f t="shared" si="4"/>
        <v>2400</v>
      </c>
      <c r="N34" s="74">
        <f t="shared" si="27"/>
        <v>8400</v>
      </c>
      <c r="O34" s="180">
        <f t="shared" si="28"/>
        <v>700</v>
      </c>
      <c r="Q34" s="58">
        <f t="shared" si="5"/>
        <v>7</v>
      </c>
      <c r="R34" s="52">
        <f t="shared" si="6"/>
        <v>29</v>
      </c>
      <c r="S34" s="52">
        <f t="shared" si="7"/>
        <v>1</v>
      </c>
      <c r="T34" s="54">
        <f t="shared" si="48"/>
        <v>0.1</v>
      </c>
      <c r="U34" s="52">
        <f t="shared" si="8"/>
        <v>2400</v>
      </c>
      <c r="V34" s="52">
        <f t="shared" si="29"/>
        <v>1591.9141109759998</v>
      </c>
      <c r="W34" s="52">
        <f t="shared" si="30"/>
        <v>240</v>
      </c>
      <c r="X34" s="87">
        <f t="shared" si="31"/>
        <v>63.676564439039993</v>
      </c>
      <c r="Y34" s="53">
        <f t="shared" si="32"/>
        <v>1895.5906754150399</v>
      </c>
      <c r="AA34" s="58">
        <f t="shared" si="9"/>
        <v>7</v>
      </c>
      <c r="AB34" s="52">
        <f t="shared" si="10"/>
        <v>29</v>
      </c>
      <c r="AC34" s="52">
        <f t="shared" si="11"/>
        <v>0</v>
      </c>
      <c r="AD34" s="54">
        <f t="shared" si="49"/>
        <v>0.15</v>
      </c>
      <c r="AE34" s="52">
        <f t="shared" si="12"/>
        <v>8400</v>
      </c>
      <c r="AF34" s="52">
        <f t="shared" si="33"/>
        <v>0</v>
      </c>
      <c r="AG34" s="52">
        <f t="shared" si="34"/>
        <v>0</v>
      </c>
      <c r="AH34" s="52">
        <f t="shared" si="13"/>
        <v>0</v>
      </c>
      <c r="AI34" s="53">
        <f t="shared" si="35"/>
        <v>0</v>
      </c>
      <c r="AK34" s="58">
        <f t="shared" si="36"/>
        <v>7</v>
      </c>
      <c r="AL34" s="52">
        <f t="shared" si="36"/>
        <v>29</v>
      </c>
      <c r="AM34" s="52">
        <f t="shared" si="14"/>
        <v>1</v>
      </c>
      <c r="AN34" s="54">
        <f t="shared" si="15"/>
        <v>0.13500000000000001</v>
      </c>
      <c r="AO34" s="54">
        <f t="shared" si="16"/>
        <v>0.18</v>
      </c>
      <c r="AP34" s="207">
        <f t="shared" si="37"/>
        <v>8400</v>
      </c>
      <c r="AQ34" s="52">
        <f t="shared" si="38"/>
        <v>8357.5490826240002</v>
      </c>
      <c r="AR34" s="52">
        <f t="shared" si="39"/>
        <v>1260</v>
      </c>
      <c r="AS34" s="48">
        <f t="shared" si="40"/>
        <v>334.30196330496</v>
      </c>
      <c r="AT34" s="53">
        <f t="shared" si="41"/>
        <v>9951.851045928961</v>
      </c>
      <c r="AV34" s="58">
        <f t="shared" si="17"/>
        <v>7</v>
      </c>
      <c r="AW34" s="52">
        <f t="shared" si="17"/>
        <v>29</v>
      </c>
      <c r="AX34" s="48">
        <v>1</v>
      </c>
      <c r="AY34" s="54">
        <f t="shared" si="18"/>
        <v>0.13500000000000001</v>
      </c>
      <c r="AZ34" s="54">
        <f t="shared" si="19"/>
        <v>0.18</v>
      </c>
      <c r="BA34" s="207">
        <f t="shared" si="42"/>
        <v>8400</v>
      </c>
      <c r="BB34" s="52">
        <f t="shared" si="43"/>
        <v>8357.5490826240002</v>
      </c>
      <c r="BC34" s="48">
        <f t="shared" si="44"/>
        <v>1260</v>
      </c>
      <c r="BD34" s="48">
        <f t="shared" si="45"/>
        <v>334.30196330496</v>
      </c>
      <c r="BE34" s="53">
        <f t="shared" si="46"/>
        <v>9951.851045928961</v>
      </c>
    </row>
    <row r="35" spans="2:57" ht="15.75" thickTop="1" thickBot="1">
      <c r="B35" s="58">
        <f t="shared" si="20"/>
        <v>8</v>
      </c>
      <c r="C35" s="52">
        <f t="shared" si="20"/>
        <v>29</v>
      </c>
      <c r="D35" s="185">
        <f t="shared" si="47"/>
        <v>1</v>
      </c>
      <c r="E35" s="48">
        <f t="shared" si="21"/>
        <v>700</v>
      </c>
      <c r="F35" s="205">
        <f t="shared" si="22"/>
        <v>12</v>
      </c>
      <c r="G35" s="192">
        <f t="shared" si="23"/>
        <v>8400</v>
      </c>
      <c r="I35" s="58">
        <f t="shared" si="24"/>
        <v>8</v>
      </c>
      <c r="J35" s="74">
        <f t="shared" si="25"/>
        <v>29</v>
      </c>
      <c r="K35" s="74">
        <f t="shared" si="3"/>
        <v>12</v>
      </c>
      <c r="L35" s="52">
        <f t="shared" si="26"/>
        <v>6000</v>
      </c>
      <c r="M35" s="74">
        <f t="shared" si="4"/>
        <v>2400</v>
      </c>
      <c r="N35" s="74">
        <f t="shared" si="27"/>
        <v>8400</v>
      </c>
      <c r="O35" s="180">
        <f t="shared" si="28"/>
        <v>700</v>
      </c>
      <c r="Q35" s="58">
        <f t="shared" si="5"/>
        <v>8</v>
      </c>
      <c r="R35" s="52">
        <f t="shared" si="6"/>
        <v>30</v>
      </c>
      <c r="S35" s="52">
        <f t="shared" si="7"/>
        <v>1</v>
      </c>
      <c r="T35" s="54">
        <f t="shared" si="48"/>
        <v>0.1</v>
      </c>
      <c r="U35" s="52">
        <f t="shared" si="8"/>
        <v>2400</v>
      </c>
      <c r="V35" s="52">
        <f t="shared" si="29"/>
        <v>1895.5906754150399</v>
      </c>
      <c r="W35" s="52">
        <f t="shared" si="30"/>
        <v>240</v>
      </c>
      <c r="X35" s="87">
        <f t="shared" si="31"/>
        <v>75.823627016601591</v>
      </c>
      <c r="Y35" s="53">
        <f t="shared" si="32"/>
        <v>2211.4143024316418</v>
      </c>
      <c r="AA35" s="58">
        <f t="shared" si="9"/>
        <v>8</v>
      </c>
      <c r="AB35" s="52">
        <f t="shared" si="10"/>
        <v>30</v>
      </c>
      <c r="AC35" s="52">
        <f t="shared" si="11"/>
        <v>0</v>
      </c>
      <c r="AD35" s="54">
        <f t="shared" si="49"/>
        <v>0.15</v>
      </c>
      <c r="AE35" s="52">
        <f t="shared" si="12"/>
        <v>8400</v>
      </c>
      <c r="AF35" s="52">
        <f t="shared" si="33"/>
        <v>0</v>
      </c>
      <c r="AG35" s="52">
        <f t="shared" si="34"/>
        <v>0</v>
      </c>
      <c r="AH35" s="52">
        <f t="shared" si="13"/>
        <v>0</v>
      </c>
      <c r="AI35" s="53">
        <f t="shared" si="35"/>
        <v>0</v>
      </c>
      <c r="AK35" s="58">
        <f t="shared" si="36"/>
        <v>8</v>
      </c>
      <c r="AL35" s="52">
        <f t="shared" si="36"/>
        <v>30</v>
      </c>
      <c r="AM35" s="52">
        <f t="shared" si="14"/>
        <v>1</v>
      </c>
      <c r="AN35" s="54">
        <f t="shared" si="15"/>
        <v>0.13500000000000001</v>
      </c>
      <c r="AO35" s="54">
        <f t="shared" si="16"/>
        <v>0.18</v>
      </c>
      <c r="AP35" s="207">
        <f t="shared" si="37"/>
        <v>8400</v>
      </c>
      <c r="AQ35" s="52">
        <f t="shared" si="38"/>
        <v>9951.851045928961</v>
      </c>
      <c r="AR35" s="52">
        <f t="shared" si="39"/>
        <v>1260</v>
      </c>
      <c r="AS35" s="48">
        <f t="shared" si="40"/>
        <v>398.07404183715846</v>
      </c>
      <c r="AT35" s="53">
        <f t="shared" si="41"/>
        <v>11609.92508776612</v>
      </c>
      <c r="AV35" s="58">
        <f t="shared" si="17"/>
        <v>8</v>
      </c>
      <c r="AW35" s="52">
        <f t="shared" si="17"/>
        <v>30</v>
      </c>
      <c r="AX35" s="48">
        <v>1</v>
      </c>
      <c r="AY35" s="54">
        <f t="shared" si="18"/>
        <v>0.13500000000000001</v>
      </c>
      <c r="AZ35" s="54">
        <f t="shared" si="19"/>
        <v>0.18</v>
      </c>
      <c r="BA35" s="207">
        <f t="shared" si="42"/>
        <v>8400</v>
      </c>
      <c r="BB35" s="52">
        <f t="shared" si="43"/>
        <v>9951.851045928961</v>
      </c>
      <c r="BC35" s="48">
        <f t="shared" si="44"/>
        <v>1260</v>
      </c>
      <c r="BD35" s="48">
        <f t="shared" si="45"/>
        <v>398.07404183715846</v>
      </c>
      <c r="BE35" s="53">
        <f t="shared" si="46"/>
        <v>11609.92508776612</v>
      </c>
    </row>
    <row r="36" spans="2:57" ht="15.75" thickTop="1" thickBot="1">
      <c r="B36" s="58">
        <f t="shared" si="20"/>
        <v>9</v>
      </c>
      <c r="C36" s="52">
        <f t="shared" si="20"/>
        <v>30</v>
      </c>
      <c r="D36" s="185">
        <f t="shared" si="47"/>
        <v>1</v>
      </c>
      <c r="E36" s="48">
        <f t="shared" si="21"/>
        <v>700</v>
      </c>
      <c r="F36" s="205">
        <f t="shared" si="22"/>
        <v>12</v>
      </c>
      <c r="G36" s="192">
        <f t="shared" si="23"/>
        <v>8400</v>
      </c>
      <c r="I36" s="58">
        <f t="shared" si="24"/>
        <v>9</v>
      </c>
      <c r="J36" s="74">
        <f t="shared" si="25"/>
        <v>30</v>
      </c>
      <c r="K36" s="74">
        <f t="shared" si="3"/>
        <v>12</v>
      </c>
      <c r="L36" s="52">
        <f t="shared" si="26"/>
        <v>6000</v>
      </c>
      <c r="M36" s="74">
        <f t="shared" si="4"/>
        <v>2400</v>
      </c>
      <c r="N36" s="74">
        <f t="shared" si="27"/>
        <v>8400</v>
      </c>
      <c r="O36" s="180">
        <f t="shared" si="28"/>
        <v>700</v>
      </c>
      <c r="Q36" s="58">
        <f t="shared" si="5"/>
        <v>9</v>
      </c>
      <c r="R36" s="52">
        <f t="shared" si="6"/>
        <v>31</v>
      </c>
      <c r="S36" s="52">
        <f t="shared" si="7"/>
        <v>1</v>
      </c>
      <c r="T36" s="54">
        <f t="shared" si="48"/>
        <v>0.1</v>
      </c>
      <c r="U36" s="52">
        <f t="shared" si="8"/>
        <v>2400</v>
      </c>
      <c r="V36" s="52">
        <f t="shared" si="29"/>
        <v>2211.4143024316418</v>
      </c>
      <c r="W36" s="52">
        <f t="shared" si="30"/>
        <v>240</v>
      </c>
      <c r="X36" s="87">
        <f t="shared" si="31"/>
        <v>88.456572097265678</v>
      </c>
      <c r="Y36" s="53">
        <f t="shared" si="32"/>
        <v>2539.8708745289073</v>
      </c>
      <c r="AA36" s="58">
        <f t="shared" si="9"/>
        <v>9</v>
      </c>
      <c r="AB36" s="52">
        <f t="shared" si="10"/>
        <v>31</v>
      </c>
      <c r="AC36" s="52">
        <f t="shared" si="11"/>
        <v>0</v>
      </c>
      <c r="AD36" s="54">
        <f t="shared" si="49"/>
        <v>0.15</v>
      </c>
      <c r="AE36" s="52">
        <f t="shared" si="12"/>
        <v>8400</v>
      </c>
      <c r="AF36" s="52">
        <f t="shared" si="33"/>
        <v>0</v>
      </c>
      <c r="AG36" s="52">
        <f t="shared" si="34"/>
        <v>0</v>
      </c>
      <c r="AH36" s="52">
        <f t="shared" si="13"/>
        <v>0</v>
      </c>
      <c r="AI36" s="53">
        <f t="shared" si="35"/>
        <v>0</v>
      </c>
      <c r="AK36" s="58">
        <f t="shared" si="36"/>
        <v>9</v>
      </c>
      <c r="AL36" s="52">
        <f t="shared" si="36"/>
        <v>31</v>
      </c>
      <c r="AM36" s="52">
        <f t="shared" si="14"/>
        <v>1</v>
      </c>
      <c r="AN36" s="54">
        <f t="shared" si="15"/>
        <v>0.13500000000000001</v>
      </c>
      <c r="AO36" s="54">
        <f t="shared" si="16"/>
        <v>0.18</v>
      </c>
      <c r="AP36" s="207">
        <f t="shared" si="37"/>
        <v>8400</v>
      </c>
      <c r="AQ36" s="52">
        <f t="shared" si="38"/>
        <v>11609.92508776612</v>
      </c>
      <c r="AR36" s="52">
        <f t="shared" si="39"/>
        <v>1260</v>
      </c>
      <c r="AS36" s="48">
        <f t="shared" si="40"/>
        <v>464.39700351064482</v>
      </c>
      <c r="AT36" s="53">
        <f t="shared" si="41"/>
        <v>13334.322091276765</v>
      </c>
      <c r="AV36" s="58">
        <f t="shared" si="17"/>
        <v>9</v>
      </c>
      <c r="AW36" s="52">
        <f t="shared" si="17"/>
        <v>31</v>
      </c>
      <c r="AX36" s="48">
        <v>1</v>
      </c>
      <c r="AY36" s="54">
        <f t="shared" si="18"/>
        <v>0.13500000000000001</v>
      </c>
      <c r="AZ36" s="54">
        <f t="shared" si="19"/>
        <v>0.18</v>
      </c>
      <c r="BA36" s="207">
        <f t="shared" si="42"/>
        <v>8400</v>
      </c>
      <c r="BB36" s="52">
        <f t="shared" si="43"/>
        <v>11609.92508776612</v>
      </c>
      <c r="BC36" s="48">
        <f t="shared" si="44"/>
        <v>1260</v>
      </c>
      <c r="BD36" s="48">
        <f t="shared" si="45"/>
        <v>464.39700351064482</v>
      </c>
      <c r="BE36" s="53">
        <f t="shared" si="46"/>
        <v>13334.322091276765</v>
      </c>
    </row>
    <row r="37" spans="2:57" ht="15.75" thickTop="1" thickBot="1">
      <c r="B37" s="58">
        <f t="shared" si="20"/>
        <v>10</v>
      </c>
      <c r="C37" s="52">
        <f t="shared" si="20"/>
        <v>31</v>
      </c>
      <c r="D37" s="185">
        <f t="shared" si="47"/>
        <v>1</v>
      </c>
      <c r="E37" s="48">
        <f t="shared" si="21"/>
        <v>700</v>
      </c>
      <c r="F37" s="205">
        <f t="shared" si="22"/>
        <v>12</v>
      </c>
      <c r="G37" s="192">
        <f t="shared" si="23"/>
        <v>8400</v>
      </c>
      <c r="I37" s="58">
        <f t="shared" si="24"/>
        <v>10</v>
      </c>
      <c r="J37" s="74">
        <f t="shared" si="25"/>
        <v>31</v>
      </c>
      <c r="K37" s="74">
        <f t="shared" si="3"/>
        <v>12</v>
      </c>
      <c r="L37" s="52">
        <f t="shared" si="26"/>
        <v>6000</v>
      </c>
      <c r="M37" s="74">
        <f t="shared" si="4"/>
        <v>2400</v>
      </c>
      <c r="N37" s="74">
        <f t="shared" si="27"/>
        <v>8400</v>
      </c>
      <c r="O37" s="180">
        <f t="shared" si="28"/>
        <v>700</v>
      </c>
      <c r="Q37" s="58">
        <f t="shared" si="5"/>
        <v>10</v>
      </c>
      <c r="R37" s="52">
        <f t="shared" si="6"/>
        <v>32</v>
      </c>
      <c r="S37" s="52">
        <f t="shared" si="7"/>
        <v>1</v>
      </c>
      <c r="T37" s="54">
        <f t="shared" si="48"/>
        <v>0.1</v>
      </c>
      <c r="U37" s="52">
        <f t="shared" si="8"/>
        <v>2400</v>
      </c>
      <c r="V37" s="52">
        <f t="shared" si="29"/>
        <v>2539.8708745289073</v>
      </c>
      <c r="W37" s="52">
        <f t="shared" si="30"/>
        <v>240</v>
      </c>
      <c r="X37" s="87">
        <f t="shared" si="31"/>
        <v>101.5948349811563</v>
      </c>
      <c r="Y37" s="53">
        <f t="shared" si="32"/>
        <v>2881.4657095100638</v>
      </c>
      <c r="AA37" s="58">
        <f t="shared" si="9"/>
        <v>10</v>
      </c>
      <c r="AB37" s="52">
        <f t="shared" si="10"/>
        <v>32</v>
      </c>
      <c r="AC37" s="52">
        <f t="shared" si="11"/>
        <v>0</v>
      </c>
      <c r="AD37" s="54">
        <f t="shared" si="49"/>
        <v>0.15</v>
      </c>
      <c r="AE37" s="52">
        <f t="shared" si="12"/>
        <v>8400</v>
      </c>
      <c r="AF37" s="52">
        <f t="shared" si="33"/>
        <v>0</v>
      </c>
      <c r="AG37" s="52">
        <f t="shared" si="34"/>
        <v>0</v>
      </c>
      <c r="AH37" s="52">
        <f t="shared" si="13"/>
        <v>0</v>
      </c>
      <c r="AI37" s="53">
        <f t="shared" si="35"/>
        <v>0</v>
      </c>
      <c r="AK37" s="58">
        <f t="shared" si="36"/>
        <v>10</v>
      </c>
      <c r="AL37" s="52">
        <f t="shared" si="36"/>
        <v>32</v>
      </c>
      <c r="AM37" s="52">
        <f t="shared" si="14"/>
        <v>1</v>
      </c>
      <c r="AN37" s="54">
        <f t="shared" si="15"/>
        <v>0.13500000000000001</v>
      </c>
      <c r="AO37" s="54">
        <f t="shared" si="16"/>
        <v>0.18</v>
      </c>
      <c r="AP37" s="207">
        <f t="shared" si="37"/>
        <v>8400</v>
      </c>
      <c r="AQ37" s="52">
        <f t="shared" si="38"/>
        <v>13334.322091276765</v>
      </c>
      <c r="AR37" s="52">
        <f t="shared" si="39"/>
        <v>1260</v>
      </c>
      <c r="AS37" s="48">
        <f t="shared" si="40"/>
        <v>533.37288365107065</v>
      </c>
      <c r="AT37" s="53">
        <f t="shared" si="41"/>
        <v>15127.694974927836</v>
      </c>
      <c r="AV37" s="58">
        <f t="shared" si="17"/>
        <v>10</v>
      </c>
      <c r="AW37" s="52">
        <f t="shared" si="17"/>
        <v>32</v>
      </c>
      <c r="AX37" s="48">
        <v>1</v>
      </c>
      <c r="AY37" s="54">
        <f t="shared" si="18"/>
        <v>0.13500000000000001</v>
      </c>
      <c r="AZ37" s="54">
        <f t="shared" si="19"/>
        <v>0.18</v>
      </c>
      <c r="BA37" s="207">
        <f t="shared" si="42"/>
        <v>8400</v>
      </c>
      <c r="BB37" s="52">
        <f t="shared" si="43"/>
        <v>13334.322091276765</v>
      </c>
      <c r="BC37" s="48">
        <f t="shared" si="44"/>
        <v>1260</v>
      </c>
      <c r="BD37" s="48">
        <f t="shared" si="45"/>
        <v>533.37288365107065</v>
      </c>
      <c r="BE37" s="53">
        <f t="shared" si="46"/>
        <v>15127.694974927836</v>
      </c>
    </row>
    <row r="38" spans="2:57" ht="15.75" thickTop="1" thickBot="1">
      <c r="B38" s="58">
        <f t="shared" si="20"/>
        <v>11</v>
      </c>
      <c r="C38" s="52">
        <f t="shared" si="20"/>
        <v>32</v>
      </c>
      <c r="D38" s="185">
        <f t="shared" si="47"/>
        <v>1</v>
      </c>
      <c r="E38" s="48">
        <f t="shared" si="21"/>
        <v>700</v>
      </c>
      <c r="F38" s="205">
        <f t="shared" si="22"/>
        <v>12</v>
      </c>
      <c r="G38" s="192">
        <f t="shared" si="23"/>
        <v>8400</v>
      </c>
      <c r="I38" s="58">
        <f t="shared" si="24"/>
        <v>11</v>
      </c>
      <c r="J38" s="74">
        <f t="shared" si="25"/>
        <v>32</v>
      </c>
      <c r="K38" s="74">
        <f t="shared" si="3"/>
        <v>12</v>
      </c>
      <c r="L38" s="52">
        <f t="shared" si="26"/>
        <v>6000</v>
      </c>
      <c r="M38" s="74">
        <f t="shared" si="4"/>
        <v>2400</v>
      </c>
      <c r="N38" s="74">
        <f t="shared" si="27"/>
        <v>8400</v>
      </c>
      <c r="O38" s="180">
        <f t="shared" si="28"/>
        <v>700</v>
      </c>
      <c r="Q38" s="58">
        <f t="shared" si="5"/>
        <v>11</v>
      </c>
      <c r="R38" s="52">
        <f t="shared" si="6"/>
        <v>33</v>
      </c>
      <c r="S38" s="52">
        <f t="shared" si="7"/>
        <v>1</v>
      </c>
      <c r="T38" s="54">
        <f t="shared" si="48"/>
        <v>0.1</v>
      </c>
      <c r="U38" s="52">
        <f t="shared" si="8"/>
        <v>2400</v>
      </c>
      <c r="V38" s="52">
        <f t="shared" si="29"/>
        <v>2881.4657095100638</v>
      </c>
      <c r="W38" s="52">
        <f t="shared" si="30"/>
        <v>240</v>
      </c>
      <c r="X38" s="87">
        <f t="shared" si="31"/>
        <v>115.25862838040256</v>
      </c>
      <c r="Y38" s="53">
        <f t="shared" si="32"/>
        <v>3236.7243378904664</v>
      </c>
      <c r="AA38" s="58">
        <f t="shared" si="9"/>
        <v>11</v>
      </c>
      <c r="AB38" s="52">
        <f t="shared" si="10"/>
        <v>33</v>
      </c>
      <c r="AC38" s="52">
        <f t="shared" si="11"/>
        <v>0</v>
      </c>
      <c r="AD38" s="54">
        <f t="shared" si="49"/>
        <v>0.15</v>
      </c>
      <c r="AE38" s="52">
        <f t="shared" si="12"/>
        <v>8400</v>
      </c>
      <c r="AF38" s="52">
        <f t="shared" si="33"/>
        <v>0</v>
      </c>
      <c r="AG38" s="52">
        <f t="shared" si="34"/>
        <v>0</v>
      </c>
      <c r="AH38" s="52">
        <f t="shared" si="13"/>
        <v>0</v>
      </c>
      <c r="AI38" s="53">
        <f t="shared" si="35"/>
        <v>0</v>
      </c>
      <c r="AK38" s="58">
        <f t="shared" si="36"/>
        <v>11</v>
      </c>
      <c r="AL38" s="52">
        <f t="shared" si="36"/>
        <v>33</v>
      </c>
      <c r="AM38" s="52">
        <f t="shared" si="14"/>
        <v>1</v>
      </c>
      <c r="AN38" s="54">
        <f t="shared" si="15"/>
        <v>0.13500000000000001</v>
      </c>
      <c r="AO38" s="54">
        <f t="shared" si="16"/>
        <v>0.18</v>
      </c>
      <c r="AP38" s="207">
        <f t="shared" si="37"/>
        <v>8400</v>
      </c>
      <c r="AQ38" s="52">
        <f t="shared" si="38"/>
        <v>15127.694974927836</v>
      </c>
      <c r="AR38" s="52">
        <f t="shared" si="39"/>
        <v>1260</v>
      </c>
      <c r="AS38" s="48">
        <f t="shared" si="40"/>
        <v>605.10779899711349</v>
      </c>
      <c r="AT38" s="53">
        <f t="shared" si="41"/>
        <v>16992.802773924948</v>
      </c>
      <c r="AV38" s="58">
        <f t="shared" si="17"/>
        <v>11</v>
      </c>
      <c r="AW38" s="52">
        <f t="shared" si="17"/>
        <v>33</v>
      </c>
      <c r="AX38" s="48">
        <v>1</v>
      </c>
      <c r="AY38" s="54">
        <f t="shared" si="18"/>
        <v>0.13500000000000001</v>
      </c>
      <c r="AZ38" s="54">
        <f t="shared" si="19"/>
        <v>0.18</v>
      </c>
      <c r="BA38" s="207">
        <f t="shared" si="42"/>
        <v>8400</v>
      </c>
      <c r="BB38" s="52">
        <f t="shared" si="43"/>
        <v>15127.694974927836</v>
      </c>
      <c r="BC38" s="48">
        <f t="shared" si="44"/>
        <v>1260</v>
      </c>
      <c r="BD38" s="48">
        <f t="shared" si="45"/>
        <v>605.10779899711349</v>
      </c>
      <c r="BE38" s="53">
        <f t="shared" si="46"/>
        <v>16992.802773924948</v>
      </c>
    </row>
    <row r="39" spans="2:57" ht="15.75" thickTop="1" thickBot="1">
      <c r="B39" s="58">
        <f t="shared" si="20"/>
        <v>12</v>
      </c>
      <c r="C39" s="52">
        <f t="shared" si="20"/>
        <v>33</v>
      </c>
      <c r="D39" s="185">
        <f t="shared" si="47"/>
        <v>1</v>
      </c>
      <c r="E39" s="48">
        <f t="shared" si="21"/>
        <v>700</v>
      </c>
      <c r="F39" s="205">
        <f t="shared" si="22"/>
        <v>12</v>
      </c>
      <c r="G39" s="192">
        <f t="shared" si="23"/>
        <v>8400</v>
      </c>
      <c r="I39" s="58">
        <f t="shared" si="24"/>
        <v>12</v>
      </c>
      <c r="J39" s="74">
        <f t="shared" si="25"/>
        <v>33</v>
      </c>
      <c r="K39" s="74">
        <f t="shared" si="3"/>
        <v>12</v>
      </c>
      <c r="L39" s="52">
        <f t="shared" si="26"/>
        <v>6000</v>
      </c>
      <c r="M39" s="74">
        <f t="shared" si="4"/>
        <v>2400</v>
      </c>
      <c r="N39" s="74">
        <f t="shared" si="27"/>
        <v>8400</v>
      </c>
      <c r="O39" s="180">
        <f t="shared" si="28"/>
        <v>700</v>
      </c>
      <c r="Q39" s="58">
        <f t="shared" si="5"/>
        <v>12</v>
      </c>
      <c r="R39" s="52">
        <f t="shared" si="6"/>
        <v>34</v>
      </c>
      <c r="S39" s="52">
        <f t="shared" si="7"/>
        <v>1</v>
      </c>
      <c r="T39" s="54">
        <f t="shared" si="48"/>
        <v>0.1</v>
      </c>
      <c r="U39" s="52">
        <f t="shared" si="8"/>
        <v>2400</v>
      </c>
      <c r="V39" s="52">
        <f t="shared" si="29"/>
        <v>3236.7243378904664</v>
      </c>
      <c r="W39" s="52">
        <f t="shared" si="30"/>
        <v>240</v>
      </c>
      <c r="X39" s="87">
        <f t="shared" si="31"/>
        <v>129.46897351561864</v>
      </c>
      <c r="Y39" s="53">
        <f t="shared" si="32"/>
        <v>3606.1933114060848</v>
      </c>
      <c r="AA39" s="58">
        <f t="shared" si="9"/>
        <v>12</v>
      </c>
      <c r="AB39" s="52">
        <f t="shared" si="10"/>
        <v>34</v>
      </c>
      <c r="AC39" s="52">
        <f t="shared" si="11"/>
        <v>0</v>
      </c>
      <c r="AD39" s="54">
        <f t="shared" si="49"/>
        <v>0.15</v>
      </c>
      <c r="AE39" s="52">
        <f t="shared" si="12"/>
        <v>8400</v>
      </c>
      <c r="AF39" s="52">
        <f t="shared" si="33"/>
        <v>0</v>
      </c>
      <c r="AG39" s="52">
        <f t="shared" si="34"/>
        <v>0</v>
      </c>
      <c r="AH39" s="52">
        <f t="shared" si="13"/>
        <v>0</v>
      </c>
      <c r="AI39" s="53">
        <f t="shared" si="35"/>
        <v>0</v>
      </c>
      <c r="AK39" s="58">
        <f t="shared" si="36"/>
        <v>12</v>
      </c>
      <c r="AL39" s="52">
        <f t="shared" si="36"/>
        <v>34</v>
      </c>
      <c r="AM39" s="52">
        <f t="shared" si="14"/>
        <v>1</v>
      </c>
      <c r="AN39" s="54">
        <f t="shared" si="15"/>
        <v>0.13500000000000001</v>
      </c>
      <c r="AO39" s="54">
        <f t="shared" si="16"/>
        <v>0.18</v>
      </c>
      <c r="AP39" s="207">
        <f t="shared" si="37"/>
        <v>8400</v>
      </c>
      <c r="AQ39" s="52">
        <f t="shared" si="38"/>
        <v>16992.802773924948</v>
      </c>
      <c r="AR39" s="52">
        <f t="shared" si="39"/>
        <v>1260</v>
      </c>
      <c r="AS39" s="48">
        <f t="shared" si="40"/>
        <v>679.71211095699789</v>
      </c>
      <c r="AT39" s="53">
        <f t="shared" si="41"/>
        <v>18932.514884881944</v>
      </c>
      <c r="AV39" s="58">
        <f t="shared" si="17"/>
        <v>12</v>
      </c>
      <c r="AW39" s="52">
        <f t="shared" si="17"/>
        <v>34</v>
      </c>
      <c r="AX39" s="48">
        <v>1</v>
      </c>
      <c r="AY39" s="54">
        <f t="shared" si="18"/>
        <v>0.13500000000000001</v>
      </c>
      <c r="AZ39" s="54">
        <f t="shared" si="19"/>
        <v>0.18</v>
      </c>
      <c r="BA39" s="207">
        <f t="shared" si="42"/>
        <v>8400</v>
      </c>
      <c r="BB39" s="52">
        <f t="shared" si="43"/>
        <v>16992.802773924948</v>
      </c>
      <c r="BC39" s="48">
        <f t="shared" si="44"/>
        <v>1260</v>
      </c>
      <c r="BD39" s="48">
        <f t="shared" si="45"/>
        <v>679.71211095699789</v>
      </c>
      <c r="BE39" s="53">
        <f t="shared" si="46"/>
        <v>18932.514884881944</v>
      </c>
    </row>
    <row r="40" spans="2:57" ht="15.75" thickTop="1" thickBot="1">
      <c r="B40" s="58">
        <f t="shared" si="20"/>
        <v>13</v>
      </c>
      <c r="C40" s="52">
        <f t="shared" si="20"/>
        <v>34</v>
      </c>
      <c r="D40" s="185">
        <f t="shared" si="47"/>
        <v>1</v>
      </c>
      <c r="E40" s="48">
        <f t="shared" si="21"/>
        <v>700</v>
      </c>
      <c r="F40" s="205">
        <f t="shared" si="22"/>
        <v>12</v>
      </c>
      <c r="G40" s="192">
        <f t="shared" si="23"/>
        <v>8400</v>
      </c>
      <c r="I40" s="58">
        <f t="shared" si="24"/>
        <v>13</v>
      </c>
      <c r="J40" s="74">
        <f t="shared" si="25"/>
        <v>34</v>
      </c>
      <c r="K40" s="74">
        <f t="shared" si="3"/>
        <v>12</v>
      </c>
      <c r="L40" s="52">
        <f t="shared" si="26"/>
        <v>6000</v>
      </c>
      <c r="M40" s="74">
        <f t="shared" si="4"/>
        <v>2400</v>
      </c>
      <c r="N40" s="74">
        <f t="shared" si="27"/>
        <v>8400</v>
      </c>
      <c r="O40" s="180">
        <f t="shared" si="28"/>
        <v>700</v>
      </c>
      <c r="Q40" s="58">
        <f t="shared" si="5"/>
        <v>13</v>
      </c>
      <c r="R40" s="52">
        <f t="shared" si="6"/>
        <v>35</v>
      </c>
      <c r="S40" s="52">
        <f t="shared" si="7"/>
        <v>1</v>
      </c>
      <c r="T40" s="54">
        <f t="shared" si="48"/>
        <v>0.1</v>
      </c>
      <c r="U40" s="52">
        <f t="shared" si="8"/>
        <v>2400</v>
      </c>
      <c r="V40" s="52">
        <f t="shared" si="29"/>
        <v>3606.1933114060848</v>
      </c>
      <c r="W40" s="52">
        <f t="shared" si="30"/>
        <v>240</v>
      </c>
      <c r="X40" s="87">
        <f t="shared" si="31"/>
        <v>144.2477324562434</v>
      </c>
      <c r="Y40" s="53">
        <f t="shared" si="32"/>
        <v>3990.4410438623281</v>
      </c>
      <c r="AA40" s="58">
        <f t="shared" si="9"/>
        <v>13</v>
      </c>
      <c r="AB40" s="52">
        <f t="shared" si="10"/>
        <v>35</v>
      </c>
      <c r="AC40" s="52">
        <f t="shared" si="11"/>
        <v>0</v>
      </c>
      <c r="AD40" s="54">
        <f t="shared" si="49"/>
        <v>0.15</v>
      </c>
      <c r="AE40" s="52">
        <f t="shared" si="12"/>
        <v>8400</v>
      </c>
      <c r="AF40" s="52">
        <f t="shared" si="33"/>
        <v>0</v>
      </c>
      <c r="AG40" s="52">
        <f t="shared" si="34"/>
        <v>0</v>
      </c>
      <c r="AH40" s="52">
        <f t="shared" si="13"/>
        <v>0</v>
      </c>
      <c r="AI40" s="53">
        <f t="shared" si="35"/>
        <v>0</v>
      </c>
      <c r="AK40" s="58">
        <f t="shared" si="36"/>
        <v>13</v>
      </c>
      <c r="AL40" s="52">
        <f t="shared" si="36"/>
        <v>35</v>
      </c>
      <c r="AM40" s="52">
        <f t="shared" si="14"/>
        <v>1</v>
      </c>
      <c r="AN40" s="54">
        <f t="shared" si="15"/>
        <v>0.13500000000000001</v>
      </c>
      <c r="AO40" s="54">
        <f t="shared" si="16"/>
        <v>0.18</v>
      </c>
      <c r="AP40" s="207">
        <f t="shared" si="37"/>
        <v>8400</v>
      </c>
      <c r="AQ40" s="52">
        <f t="shared" si="38"/>
        <v>18932.514884881944</v>
      </c>
      <c r="AR40" s="52">
        <f t="shared" si="39"/>
        <v>1260</v>
      </c>
      <c r="AS40" s="48">
        <f t="shared" si="40"/>
        <v>757.30059539527781</v>
      </c>
      <c r="AT40" s="53">
        <f t="shared" si="41"/>
        <v>20949.815480277222</v>
      </c>
      <c r="AV40" s="58">
        <f t="shared" si="17"/>
        <v>13</v>
      </c>
      <c r="AW40" s="52">
        <f t="shared" si="17"/>
        <v>35</v>
      </c>
      <c r="AX40" s="48">
        <v>1</v>
      </c>
      <c r="AY40" s="54">
        <f t="shared" si="18"/>
        <v>0.13500000000000001</v>
      </c>
      <c r="AZ40" s="54">
        <f t="shared" si="19"/>
        <v>0.18</v>
      </c>
      <c r="BA40" s="207">
        <f t="shared" si="42"/>
        <v>8400</v>
      </c>
      <c r="BB40" s="52">
        <f t="shared" si="43"/>
        <v>18932.514884881944</v>
      </c>
      <c r="BC40" s="48">
        <f t="shared" si="44"/>
        <v>1260</v>
      </c>
      <c r="BD40" s="48">
        <f t="shared" si="45"/>
        <v>757.30059539527781</v>
      </c>
      <c r="BE40" s="53">
        <f t="shared" si="46"/>
        <v>20949.815480277222</v>
      </c>
    </row>
    <row r="41" spans="2:57" ht="15.75" thickTop="1" thickBot="1">
      <c r="B41" s="58">
        <f t="shared" si="20"/>
        <v>14</v>
      </c>
      <c r="C41" s="52">
        <f t="shared" si="20"/>
        <v>35</v>
      </c>
      <c r="D41" s="185">
        <f t="shared" si="47"/>
        <v>1</v>
      </c>
      <c r="E41" s="48">
        <f t="shared" si="21"/>
        <v>700</v>
      </c>
      <c r="F41" s="205">
        <f t="shared" si="22"/>
        <v>12</v>
      </c>
      <c r="G41" s="192">
        <f t="shared" si="23"/>
        <v>8400</v>
      </c>
      <c r="I41" s="58">
        <f t="shared" si="24"/>
        <v>14</v>
      </c>
      <c r="J41" s="74">
        <f t="shared" si="25"/>
        <v>35</v>
      </c>
      <c r="K41" s="74">
        <f t="shared" si="3"/>
        <v>12</v>
      </c>
      <c r="L41" s="52">
        <f t="shared" si="26"/>
        <v>6000</v>
      </c>
      <c r="M41" s="74">
        <f t="shared" si="4"/>
        <v>2400</v>
      </c>
      <c r="N41" s="74">
        <f t="shared" si="27"/>
        <v>8400</v>
      </c>
      <c r="O41" s="180">
        <f t="shared" si="28"/>
        <v>700</v>
      </c>
      <c r="Q41" s="58">
        <f t="shared" si="5"/>
        <v>14</v>
      </c>
      <c r="R41" s="52">
        <f t="shared" si="6"/>
        <v>36</v>
      </c>
      <c r="S41" s="52">
        <f t="shared" si="7"/>
        <v>1</v>
      </c>
      <c r="T41" s="54">
        <f t="shared" si="48"/>
        <v>0.1</v>
      </c>
      <c r="U41" s="52">
        <f t="shared" si="8"/>
        <v>2400</v>
      </c>
      <c r="V41" s="52">
        <f t="shared" si="29"/>
        <v>3990.4410438623281</v>
      </c>
      <c r="W41" s="52">
        <f t="shared" si="30"/>
        <v>240</v>
      </c>
      <c r="X41" s="87">
        <f t="shared" si="31"/>
        <v>159.61764175449312</v>
      </c>
      <c r="Y41" s="53">
        <f t="shared" si="32"/>
        <v>4390.0586856168211</v>
      </c>
      <c r="AA41" s="58">
        <f t="shared" si="9"/>
        <v>14</v>
      </c>
      <c r="AB41" s="52">
        <f t="shared" si="10"/>
        <v>36</v>
      </c>
      <c r="AC41" s="52">
        <f t="shared" si="11"/>
        <v>0</v>
      </c>
      <c r="AD41" s="54">
        <f t="shared" si="49"/>
        <v>0.15</v>
      </c>
      <c r="AE41" s="52">
        <f t="shared" si="12"/>
        <v>8400</v>
      </c>
      <c r="AF41" s="52">
        <f t="shared" si="33"/>
        <v>0</v>
      </c>
      <c r="AG41" s="52">
        <f t="shared" si="34"/>
        <v>0</v>
      </c>
      <c r="AH41" s="52">
        <f t="shared" si="13"/>
        <v>0</v>
      </c>
      <c r="AI41" s="53">
        <f t="shared" si="35"/>
        <v>0</v>
      </c>
      <c r="AK41" s="58">
        <f t="shared" si="36"/>
        <v>14</v>
      </c>
      <c r="AL41" s="52">
        <f t="shared" si="36"/>
        <v>36</v>
      </c>
      <c r="AM41" s="52">
        <f t="shared" si="14"/>
        <v>1</v>
      </c>
      <c r="AN41" s="54">
        <f t="shared" si="15"/>
        <v>0.13500000000000001</v>
      </c>
      <c r="AO41" s="54">
        <f t="shared" si="16"/>
        <v>0.18</v>
      </c>
      <c r="AP41" s="207">
        <f t="shared" si="37"/>
        <v>8400</v>
      </c>
      <c r="AQ41" s="52">
        <f t="shared" si="38"/>
        <v>20949.815480277222</v>
      </c>
      <c r="AR41" s="52">
        <f t="shared" si="39"/>
        <v>1260</v>
      </c>
      <c r="AS41" s="48">
        <f t="shared" si="40"/>
        <v>837.99261921108894</v>
      </c>
      <c r="AT41" s="53">
        <f t="shared" si="41"/>
        <v>23047.808099488313</v>
      </c>
      <c r="AV41" s="58">
        <f t="shared" si="17"/>
        <v>14</v>
      </c>
      <c r="AW41" s="52">
        <f t="shared" si="17"/>
        <v>36</v>
      </c>
      <c r="AX41" s="48">
        <v>1</v>
      </c>
      <c r="AY41" s="54">
        <f t="shared" si="18"/>
        <v>0.13500000000000001</v>
      </c>
      <c r="AZ41" s="54">
        <f t="shared" si="19"/>
        <v>0.18</v>
      </c>
      <c r="BA41" s="207">
        <f t="shared" si="42"/>
        <v>8400</v>
      </c>
      <c r="BB41" s="52">
        <f t="shared" si="43"/>
        <v>20949.815480277222</v>
      </c>
      <c r="BC41" s="48">
        <f t="shared" si="44"/>
        <v>1260</v>
      </c>
      <c r="BD41" s="48">
        <f t="shared" si="45"/>
        <v>837.99261921108894</v>
      </c>
      <c r="BE41" s="53">
        <f t="shared" si="46"/>
        <v>23047.808099488313</v>
      </c>
    </row>
    <row r="42" spans="2:57" ht="15.75" thickTop="1" thickBot="1">
      <c r="B42" s="58">
        <f t="shared" si="20"/>
        <v>15</v>
      </c>
      <c r="C42" s="52">
        <f t="shared" si="20"/>
        <v>36</v>
      </c>
      <c r="D42" s="185">
        <f t="shared" si="47"/>
        <v>1</v>
      </c>
      <c r="E42" s="48">
        <f t="shared" si="21"/>
        <v>700</v>
      </c>
      <c r="F42" s="205">
        <f t="shared" si="22"/>
        <v>12</v>
      </c>
      <c r="G42" s="192">
        <f t="shared" si="23"/>
        <v>8400</v>
      </c>
      <c r="I42" s="58">
        <f t="shared" si="24"/>
        <v>15</v>
      </c>
      <c r="J42" s="74">
        <f t="shared" si="25"/>
        <v>36</v>
      </c>
      <c r="K42" s="74">
        <f t="shared" si="3"/>
        <v>12</v>
      </c>
      <c r="L42" s="52">
        <f t="shared" si="26"/>
        <v>6000</v>
      </c>
      <c r="M42" s="74">
        <f t="shared" si="4"/>
        <v>2400</v>
      </c>
      <c r="N42" s="74">
        <f t="shared" si="27"/>
        <v>8400</v>
      </c>
      <c r="O42" s="180">
        <f t="shared" si="28"/>
        <v>700</v>
      </c>
      <c r="Q42" s="58">
        <f t="shared" si="5"/>
        <v>15</v>
      </c>
      <c r="R42" s="52">
        <f t="shared" si="6"/>
        <v>37</v>
      </c>
      <c r="S42" s="52">
        <f t="shared" si="7"/>
        <v>1</v>
      </c>
      <c r="T42" s="54">
        <f t="shared" si="48"/>
        <v>0.1</v>
      </c>
      <c r="U42" s="52">
        <f t="shared" si="8"/>
        <v>2400</v>
      </c>
      <c r="V42" s="52">
        <f t="shared" si="29"/>
        <v>4390.0586856168211</v>
      </c>
      <c r="W42" s="52">
        <f t="shared" si="30"/>
        <v>240</v>
      </c>
      <c r="X42" s="87">
        <f t="shared" si="31"/>
        <v>175.60234742467284</v>
      </c>
      <c r="Y42" s="53">
        <f t="shared" si="32"/>
        <v>4805.6610330414942</v>
      </c>
      <c r="AA42" s="58">
        <f t="shared" si="9"/>
        <v>15</v>
      </c>
      <c r="AB42" s="52">
        <f t="shared" si="10"/>
        <v>37</v>
      </c>
      <c r="AC42" s="52">
        <f t="shared" si="11"/>
        <v>0</v>
      </c>
      <c r="AD42" s="54">
        <f t="shared" si="49"/>
        <v>0.15</v>
      </c>
      <c r="AE42" s="52">
        <f t="shared" si="12"/>
        <v>8400</v>
      </c>
      <c r="AF42" s="52">
        <f t="shared" si="33"/>
        <v>0</v>
      </c>
      <c r="AG42" s="52">
        <f t="shared" si="34"/>
        <v>0</v>
      </c>
      <c r="AH42" s="52">
        <f t="shared" si="13"/>
        <v>0</v>
      </c>
      <c r="AI42" s="53">
        <f t="shared" si="35"/>
        <v>0</v>
      </c>
      <c r="AK42" s="58">
        <f t="shared" si="36"/>
        <v>15</v>
      </c>
      <c r="AL42" s="52">
        <f t="shared" si="36"/>
        <v>37</v>
      </c>
      <c r="AM42" s="52">
        <f t="shared" si="14"/>
        <v>1</v>
      </c>
      <c r="AN42" s="54">
        <f t="shared" si="15"/>
        <v>0.13500000000000001</v>
      </c>
      <c r="AO42" s="54">
        <f t="shared" si="16"/>
        <v>0.18</v>
      </c>
      <c r="AP42" s="207">
        <f t="shared" si="37"/>
        <v>8400</v>
      </c>
      <c r="AQ42" s="52">
        <f t="shared" si="38"/>
        <v>23047.808099488313</v>
      </c>
      <c r="AR42" s="52">
        <f t="shared" si="39"/>
        <v>1260</v>
      </c>
      <c r="AS42" s="48">
        <f t="shared" si="40"/>
        <v>921.91232397953252</v>
      </c>
      <c r="AT42" s="53">
        <f t="shared" si="41"/>
        <v>25229.720423467847</v>
      </c>
      <c r="AV42" s="58">
        <f t="shared" si="17"/>
        <v>15</v>
      </c>
      <c r="AW42" s="52">
        <f t="shared" si="17"/>
        <v>37</v>
      </c>
      <c r="AX42" s="48">
        <v>1</v>
      </c>
      <c r="AY42" s="54">
        <f t="shared" si="18"/>
        <v>0.13500000000000001</v>
      </c>
      <c r="AZ42" s="54">
        <f t="shared" si="19"/>
        <v>0.18</v>
      </c>
      <c r="BA42" s="207">
        <f t="shared" si="42"/>
        <v>8400</v>
      </c>
      <c r="BB42" s="52">
        <f t="shared" si="43"/>
        <v>23047.808099488313</v>
      </c>
      <c r="BC42" s="48">
        <f t="shared" si="44"/>
        <v>1260</v>
      </c>
      <c r="BD42" s="48">
        <f t="shared" si="45"/>
        <v>921.91232397953252</v>
      </c>
      <c r="BE42" s="53">
        <f t="shared" si="46"/>
        <v>25229.720423467847</v>
      </c>
    </row>
    <row r="43" spans="2:57" ht="15.75" thickTop="1" thickBot="1">
      <c r="B43" s="58">
        <f t="shared" si="20"/>
        <v>16</v>
      </c>
      <c r="C43" s="52">
        <f t="shared" si="20"/>
        <v>37</v>
      </c>
      <c r="D43" s="185">
        <f t="shared" si="47"/>
        <v>1</v>
      </c>
      <c r="E43" s="48">
        <f t="shared" si="21"/>
        <v>700</v>
      </c>
      <c r="F43" s="205">
        <f t="shared" si="22"/>
        <v>12</v>
      </c>
      <c r="G43" s="192">
        <f t="shared" si="23"/>
        <v>8400</v>
      </c>
      <c r="I43" s="58">
        <f t="shared" si="24"/>
        <v>16</v>
      </c>
      <c r="J43" s="74">
        <f t="shared" si="25"/>
        <v>37</v>
      </c>
      <c r="K43" s="74">
        <f t="shared" si="3"/>
        <v>12</v>
      </c>
      <c r="L43" s="52">
        <f t="shared" si="26"/>
        <v>6000</v>
      </c>
      <c r="M43" s="74">
        <f t="shared" si="4"/>
        <v>2400</v>
      </c>
      <c r="N43" s="74">
        <f t="shared" si="27"/>
        <v>8400</v>
      </c>
      <c r="O43" s="180">
        <f t="shared" si="28"/>
        <v>700</v>
      </c>
      <c r="Q43" s="58">
        <f t="shared" si="5"/>
        <v>16</v>
      </c>
      <c r="R43" s="52">
        <f t="shared" si="6"/>
        <v>38</v>
      </c>
      <c r="S43" s="52">
        <f t="shared" si="7"/>
        <v>1</v>
      </c>
      <c r="T43" s="54">
        <f t="shared" si="48"/>
        <v>0.1</v>
      </c>
      <c r="U43" s="52">
        <f t="shared" si="8"/>
        <v>2400</v>
      </c>
      <c r="V43" s="52">
        <f t="shared" si="29"/>
        <v>4805.6610330414942</v>
      </c>
      <c r="W43" s="52">
        <f t="shared" si="30"/>
        <v>240</v>
      </c>
      <c r="X43" s="87">
        <f t="shared" si="31"/>
        <v>192.22644132165976</v>
      </c>
      <c r="Y43" s="53">
        <f t="shared" si="32"/>
        <v>5237.8874743631541</v>
      </c>
      <c r="AA43" s="58">
        <f t="shared" si="9"/>
        <v>16</v>
      </c>
      <c r="AB43" s="52">
        <f t="shared" si="10"/>
        <v>38</v>
      </c>
      <c r="AC43" s="52">
        <f t="shared" si="11"/>
        <v>0</v>
      </c>
      <c r="AD43" s="54">
        <f t="shared" si="49"/>
        <v>0.15</v>
      </c>
      <c r="AE43" s="52">
        <f t="shared" si="12"/>
        <v>8400</v>
      </c>
      <c r="AF43" s="52">
        <f t="shared" si="33"/>
        <v>0</v>
      </c>
      <c r="AG43" s="52">
        <f t="shared" si="34"/>
        <v>0</v>
      </c>
      <c r="AH43" s="52">
        <f t="shared" si="13"/>
        <v>0</v>
      </c>
      <c r="AI43" s="53">
        <f t="shared" si="35"/>
        <v>0</v>
      </c>
      <c r="AK43" s="58">
        <f t="shared" si="36"/>
        <v>16</v>
      </c>
      <c r="AL43" s="52">
        <f t="shared" si="36"/>
        <v>38</v>
      </c>
      <c r="AM43" s="52">
        <f t="shared" si="14"/>
        <v>1</v>
      </c>
      <c r="AN43" s="54">
        <f t="shared" si="15"/>
        <v>0.13500000000000001</v>
      </c>
      <c r="AO43" s="54">
        <f t="shared" si="16"/>
        <v>0.18</v>
      </c>
      <c r="AP43" s="207">
        <f t="shared" si="37"/>
        <v>8400</v>
      </c>
      <c r="AQ43" s="52">
        <f t="shared" si="38"/>
        <v>25229.720423467847</v>
      </c>
      <c r="AR43" s="52">
        <f t="shared" si="39"/>
        <v>1260</v>
      </c>
      <c r="AS43" s="48">
        <f t="shared" si="40"/>
        <v>1009.1888169387139</v>
      </c>
      <c r="AT43" s="53">
        <f t="shared" si="41"/>
        <v>27498.90924040656</v>
      </c>
      <c r="AV43" s="58">
        <f t="shared" si="17"/>
        <v>16</v>
      </c>
      <c r="AW43" s="52">
        <f t="shared" si="17"/>
        <v>38</v>
      </c>
      <c r="AX43" s="48">
        <v>1</v>
      </c>
      <c r="AY43" s="54">
        <f t="shared" si="18"/>
        <v>0.13500000000000001</v>
      </c>
      <c r="AZ43" s="54">
        <f t="shared" si="19"/>
        <v>0.18</v>
      </c>
      <c r="BA43" s="207">
        <f t="shared" si="42"/>
        <v>8400</v>
      </c>
      <c r="BB43" s="52">
        <f t="shared" si="43"/>
        <v>25229.720423467847</v>
      </c>
      <c r="BC43" s="48">
        <f t="shared" si="44"/>
        <v>1260</v>
      </c>
      <c r="BD43" s="48">
        <f t="shared" si="45"/>
        <v>1009.1888169387139</v>
      </c>
      <c r="BE43" s="53">
        <f t="shared" si="46"/>
        <v>27498.90924040656</v>
      </c>
    </row>
    <row r="44" spans="2:57" ht="15.75" thickTop="1" thickBot="1">
      <c r="B44" s="58">
        <f t="shared" si="20"/>
        <v>17</v>
      </c>
      <c r="C44" s="52">
        <f t="shared" si="20"/>
        <v>38</v>
      </c>
      <c r="D44" s="185">
        <f t="shared" si="47"/>
        <v>1</v>
      </c>
      <c r="E44" s="48">
        <f t="shared" si="21"/>
        <v>700</v>
      </c>
      <c r="F44" s="205">
        <f t="shared" si="22"/>
        <v>12</v>
      </c>
      <c r="G44" s="192">
        <f t="shared" si="23"/>
        <v>8400</v>
      </c>
      <c r="I44" s="58">
        <f t="shared" si="24"/>
        <v>17</v>
      </c>
      <c r="J44" s="74">
        <f t="shared" si="25"/>
        <v>38</v>
      </c>
      <c r="K44" s="74">
        <f t="shared" si="3"/>
        <v>12</v>
      </c>
      <c r="L44" s="52">
        <f t="shared" si="26"/>
        <v>6000</v>
      </c>
      <c r="M44" s="74">
        <f t="shared" si="4"/>
        <v>2400</v>
      </c>
      <c r="N44" s="74">
        <f t="shared" si="27"/>
        <v>8400</v>
      </c>
      <c r="O44" s="180">
        <f t="shared" si="28"/>
        <v>700</v>
      </c>
      <c r="Q44" s="58">
        <f t="shared" si="5"/>
        <v>17</v>
      </c>
      <c r="R44" s="52">
        <f t="shared" si="6"/>
        <v>39</v>
      </c>
      <c r="S44" s="52">
        <f t="shared" si="7"/>
        <v>1</v>
      </c>
      <c r="T44" s="54">
        <f t="shared" si="48"/>
        <v>0.1</v>
      </c>
      <c r="U44" s="52">
        <f t="shared" si="8"/>
        <v>2400</v>
      </c>
      <c r="V44" s="52">
        <f t="shared" si="29"/>
        <v>5237.8874743631541</v>
      </c>
      <c r="W44" s="52">
        <f t="shared" si="30"/>
        <v>240</v>
      </c>
      <c r="X44" s="87">
        <f t="shared" si="31"/>
        <v>209.51549897452617</v>
      </c>
      <c r="Y44" s="53">
        <f t="shared" si="32"/>
        <v>5687.4029733376801</v>
      </c>
      <c r="AA44" s="58">
        <f t="shared" si="9"/>
        <v>17</v>
      </c>
      <c r="AB44" s="52">
        <f t="shared" si="10"/>
        <v>39</v>
      </c>
      <c r="AC44" s="52">
        <f t="shared" si="11"/>
        <v>0</v>
      </c>
      <c r="AD44" s="54">
        <f t="shared" si="49"/>
        <v>0.15</v>
      </c>
      <c r="AE44" s="52">
        <f t="shared" si="12"/>
        <v>8400</v>
      </c>
      <c r="AF44" s="52">
        <f t="shared" si="33"/>
        <v>0</v>
      </c>
      <c r="AG44" s="52">
        <f t="shared" si="34"/>
        <v>0</v>
      </c>
      <c r="AH44" s="52">
        <f t="shared" si="13"/>
        <v>0</v>
      </c>
      <c r="AI44" s="53">
        <f t="shared" si="35"/>
        <v>0</v>
      </c>
      <c r="AK44" s="58">
        <f t="shared" si="36"/>
        <v>17</v>
      </c>
      <c r="AL44" s="52">
        <f t="shared" si="36"/>
        <v>39</v>
      </c>
      <c r="AM44" s="52">
        <f t="shared" si="14"/>
        <v>1</v>
      </c>
      <c r="AN44" s="54">
        <f t="shared" si="15"/>
        <v>0.13500000000000001</v>
      </c>
      <c r="AO44" s="54">
        <f t="shared" si="16"/>
        <v>0.18</v>
      </c>
      <c r="AP44" s="207">
        <f t="shared" si="37"/>
        <v>8400</v>
      </c>
      <c r="AQ44" s="52">
        <f t="shared" si="38"/>
        <v>27498.90924040656</v>
      </c>
      <c r="AR44" s="52">
        <f t="shared" si="39"/>
        <v>1260</v>
      </c>
      <c r="AS44" s="48">
        <f t="shared" si="40"/>
        <v>1099.9563696162625</v>
      </c>
      <c r="AT44" s="53">
        <f t="shared" si="41"/>
        <v>29858.865610022822</v>
      </c>
      <c r="AV44" s="58">
        <f t="shared" si="17"/>
        <v>17</v>
      </c>
      <c r="AW44" s="52">
        <f t="shared" si="17"/>
        <v>39</v>
      </c>
      <c r="AX44" s="48">
        <v>1</v>
      </c>
      <c r="AY44" s="54">
        <f t="shared" si="18"/>
        <v>0.13500000000000001</v>
      </c>
      <c r="AZ44" s="54">
        <f t="shared" si="19"/>
        <v>0.18</v>
      </c>
      <c r="BA44" s="207">
        <f t="shared" si="42"/>
        <v>8400</v>
      </c>
      <c r="BB44" s="52">
        <f t="shared" si="43"/>
        <v>27498.90924040656</v>
      </c>
      <c r="BC44" s="48">
        <f t="shared" si="44"/>
        <v>1260</v>
      </c>
      <c r="BD44" s="48">
        <f t="shared" si="45"/>
        <v>1099.9563696162625</v>
      </c>
      <c r="BE44" s="53">
        <f t="shared" si="46"/>
        <v>29858.865610022822</v>
      </c>
    </row>
    <row r="45" spans="2:57" ht="15.75" thickTop="1" thickBot="1">
      <c r="B45" s="124">
        <f t="shared" ref="B45:C60" si="50">+B44+1</f>
        <v>18</v>
      </c>
      <c r="C45" s="125">
        <f t="shared" si="50"/>
        <v>39</v>
      </c>
      <c r="D45" s="185">
        <f t="shared" si="47"/>
        <v>1</v>
      </c>
      <c r="E45" s="48">
        <f t="shared" si="21"/>
        <v>700</v>
      </c>
      <c r="F45" s="205">
        <f t="shared" si="22"/>
        <v>12</v>
      </c>
      <c r="G45" s="192">
        <f t="shared" si="23"/>
        <v>8400</v>
      </c>
      <c r="I45" s="124">
        <f t="shared" si="24"/>
        <v>18</v>
      </c>
      <c r="J45" s="129">
        <f t="shared" si="25"/>
        <v>39</v>
      </c>
      <c r="K45" s="129">
        <f t="shared" si="3"/>
        <v>12</v>
      </c>
      <c r="L45" s="125">
        <f t="shared" si="26"/>
        <v>6000</v>
      </c>
      <c r="M45" s="129">
        <f t="shared" si="4"/>
        <v>2400</v>
      </c>
      <c r="N45" s="74">
        <f t="shared" si="27"/>
        <v>8400</v>
      </c>
      <c r="O45" s="180">
        <f t="shared" si="28"/>
        <v>700</v>
      </c>
      <c r="Q45" s="124">
        <f t="shared" si="5"/>
        <v>18</v>
      </c>
      <c r="R45" s="125">
        <f t="shared" si="6"/>
        <v>40</v>
      </c>
      <c r="S45" s="125">
        <f t="shared" si="7"/>
        <v>1</v>
      </c>
      <c r="T45" s="126">
        <f t="shared" si="48"/>
        <v>0.1</v>
      </c>
      <c r="U45" s="125">
        <f t="shared" si="8"/>
        <v>2400</v>
      </c>
      <c r="V45" s="125">
        <f t="shared" si="29"/>
        <v>5687.4029733376801</v>
      </c>
      <c r="W45" s="125">
        <f t="shared" si="30"/>
        <v>240</v>
      </c>
      <c r="X45" s="87">
        <f t="shared" si="31"/>
        <v>227.4961189335072</v>
      </c>
      <c r="Y45" s="128">
        <f t="shared" si="32"/>
        <v>6154.8990922711873</v>
      </c>
      <c r="AA45" s="124">
        <f t="shared" si="9"/>
        <v>18</v>
      </c>
      <c r="AB45" s="125">
        <f t="shared" si="10"/>
        <v>40</v>
      </c>
      <c r="AC45" s="125">
        <f t="shared" si="11"/>
        <v>0</v>
      </c>
      <c r="AD45" s="126">
        <f t="shared" si="49"/>
        <v>0.15</v>
      </c>
      <c r="AE45" s="125">
        <f t="shared" si="12"/>
        <v>8400</v>
      </c>
      <c r="AF45" s="125">
        <f t="shared" si="33"/>
        <v>0</v>
      </c>
      <c r="AG45" s="125">
        <f t="shared" si="34"/>
        <v>0</v>
      </c>
      <c r="AH45" s="125">
        <f t="shared" si="13"/>
        <v>0</v>
      </c>
      <c r="AI45" s="128">
        <f t="shared" si="35"/>
        <v>0</v>
      </c>
      <c r="AK45" s="124">
        <f t="shared" si="36"/>
        <v>18</v>
      </c>
      <c r="AL45" s="125">
        <f t="shared" si="36"/>
        <v>40</v>
      </c>
      <c r="AM45" s="125">
        <f t="shared" si="14"/>
        <v>1</v>
      </c>
      <c r="AN45" s="126">
        <f t="shared" si="15"/>
        <v>0.13500000000000001</v>
      </c>
      <c r="AO45" s="126">
        <f t="shared" si="16"/>
        <v>0.18</v>
      </c>
      <c r="AP45" s="207">
        <f t="shared" si="37"/>
        <v>8400</v>
      </c>
      <c r="AQ45" s="125">
        <f t="shared" si="38"/>
        <v>29858.865610022822</v>
      </c>
      <c r="AR45" s="52">
        <f t="shared" si="39"/>
        <v>1260</v>
      </c>
      <c r="AS45" s="48">
        <f t="shared" si="40"/>
        <v>1194.3546244009128</v>
      </c>
      <c r="AT45" s="128">
        <f t="shared" si="41"/>
        <v>32313.220234423734</v>
      </c>
      <c r="AV45" s="124">
        <f t="shared" si="17"/>
        <v>18</v>
      </c>
      <c r="AW45" s="125">
        <f t="shared" si="17"/>
        <v>40</v>
      </c>
      <c r="AX45" s="48">
        <v>1</v>
      </c>
      <c r="AY45" s="126">
        <f t="shared" si="18"/>
        <v>0.13500000000000001</v>
      </c>
      <c r="AZ45" s="126">
        <f t="shared" si="19"/>
        <v>0.18</v>
      </c>
      <c r="BA45" s="207">
        <f t="shared" si="42"/>
        <v>8400</v>
      </c>
      <c r="BB45" s="125">
        <f t="shared" si="43"/>
        <v>29858.865610022822</v>
      </c>
      <c r="BC45" s="48">
        <f t="shared" si="44"/>
        <v>1260</v>
      </c>
      <c r="BD45" s="48">
        <f t="shared" si="45"/>
        <v>1194.3546244009128</v>
      </c>
      <c r="BE45" s="128">
        <f t="shared" si="46"/>
        <v>32313.220234423734</v>
      </c>
    </row>
    <row r="46" spans="2:57" ht="15.75" thickTop="1" thickBot="1">
      <c r="B46" s="58">
        <f t="shared" si="50"/>
        <v>19</v>
      </c>
      <c r="C46" s="52">
        <f t="shared" si="50"/>
        <v>40</v>
      </c>
      <c r="D46" s="185">
        <f t="shared" si="47"/>
        <v>1</v>
      </c>
      <c r="E46" s="48">
        <f t="shared" si="21"/>
        <v>700</v>
      </c>
      <c r="F46" s="205">
        <f t="shared" si="22"/>
        <v>12</v>
      </c>
      <c r="G46" s="192">
        <f t="shared" si="23"/>
        <v>8400</v>
      </c>
      <c r="I46" s="58">
        <f t="shared" si="24"/>
        <v>19</v>
      </c>
      <c r="J46" s="74">
        <f t="shared" si="25"/>
        <v>40</v>
      </c>
      <c r="K46" s="74">
        <f t="shared" si="3"/>
        <v>12</v>
      </c>
      <c r="L46" s="52">
        <f t="shared" si="26"/>
        <v>6000</v>
      </c>
      <c r="M46" s="74">
        <f t="shared" si="4"/>
        <v>2400</v>
      </c>
      <c r="N46" s="74">
        <f t="shared" si="27"/>
        <v>8400</v>
      </c>
      <c r="O46" s="180">
        <f t="shared" si="28"/>
        <v>700</v>
      </c>
      <c r="Q46" s="58">
        <f t="shared" si="5"/>
        <v>19</v>
      </c>
      <c r="R46" s="52">
        <f t="shared" si="6"/>
        <v>41</v>
      </c>
      <c r="S46" s="52">
        <f t="shared" si="7"/>
        <v>1</v>
      </c>
      <c r="T46" s="54">
        <f t="shared" si="48"/>
        <v>0.1</v>
      </c>
      <c r="U46" s="52">
        <f t="shared" si="8"/>
        <v>2400</v>
      </c>
      <c r="V46" s="52">
        <f t="shared" si="29"/>
        <v>6154.8990922711873</v>
      </c>
      <c r="W46" s="52">
        <f t="shared" si="30"/>
        <v>240</v>
      </c>
      <c r="X46" s="87">
        <f t="shared" si="31"/>
        <v>246.19596369084749</v>
      </c>
      <c r="Y46" s="53">
        <f t="shared" si="32"/>
        <v>6641.0950559620351</v>
      </c>
      <c r="AA46" s="58">
        <f t="shared" si="9"/>
        <v>19</v>
      </c>
      <c r="AB46" s="52">
        <f t="shared" si="10"/>
        <v>41</v>
      </c>
      <c r="AC46" s="52">
        <f t="shared" si="11"/>
        <v>0</v>
      </c>
      <c r="AD46" s="54">
        <f t="shared" si="49"/>
        <v>0.15</v>
      </c>
      <c r="AE46" s="52">
        <f t="shared" si="12"/>
        <v>8400</v>
      </c>
      <c r="AF46" s="52">
        <f t="shared" si="33"/>
        <v>0</v>
      </c>
      <c r="AG46" s="52">
        <f t="shared" si="34"/>
        <v>0</v>
      </c>
      <c r="AH46" s="52">
        <f t="shared" si="13"/>
        <v>0</v>
      </c>
      <c r="AI46" s="53">
        <f t="shared" si="35"/>
        <v>0</v>
      </c>
      <c r="AK46" s="58">
        <f t="shared" si="36"/>
        <v>19</v>
      </c>
      <c r="AL46" s="52">
        <f t="shared" si="36"/>
        <v>41</v>
      </c>
      <c r="AM46" s="52">
        <f t="shared" si="14"/>
        <v>1</v>
      </c>
      <c r="AN46" s="54">
        <f t="shared" si="15"/>
        <v>0.13500000000000001</v>
      </c>
      <c r="AO46" s="54">
        <f t="shared" si="16"/>
        <v>0.18</v>
      </c>
      <c r="AP46" s="207">
        <f t="shared" si="37"/>
        <v>8400</v>
      </c>
      <c r="AQ46" s="52">
        <f t="shared" si="38"/>
        <v>32313.220234423734</v>
      </c>
      <c r="AR46" s="52">
        <f t="shared" si="39"/>
        <v>1260</v>
      </c>
      <c r="AS46" s="48">
        <f t="shared" si="40"/>
        <v>1292.5288093769493</v>
      </c>
      <c r="AT46" s="53">
        <f t="shared" si="41"/>
        <v>34865.749043800679</v>
      </c>
      <c r="AV46" s="58">
        <f t="shared" si="17"/>
        <v>19</v>
      </c>
      <c r="AW46" s="52">
        <f t="shared" si="17"/>
        <v>41</v>
      </c>
      <c r="AX46" s="48">
        <v>1</v>
      </c>
      <c r="AY46" s="54">
        <f t="shared" si="18"/>
        <v>0.13500000000000001</v>
      </c>
      <c r="AZ46" s="54">
        <f t="shared" si="19"/>
        <v>0.18</v>
      </c>
      <c r="BA46" s="207">
        <f t="shared" si="42"/>
        <v>8400</v>
      </c>
      <c r="BB46" s="52">
        <f t="shared" si="43"/>
        <v>32313.220234423734</v>
      </c>
      <c r="BC46" s="48">
        <f t="shared" si="44"/>
        <v>1260</v>
      </c>
      <c r="BD46" s="48">
        <f t="shared" si="45"/>
        <v>1292.5288093769493</v>
      </c>
      <c r="BE46" s="53">
        <f t="shared" si="46"/>
        <v>34865.749043800679</v>
      </c>
    </row>
    <row r="47" spans="2:57" ht="15.75" thickTop="1" thickBot="1">
      <c r="B47" s="58">
        <f t="shared" si="50"/>
        <v>20</v>
      </c>
      <c r="C47" s="52">
        <f t="shared" si="50"/>
        <v>41</v>
      </c>
      <c r="D47" s="185">
        <f t="shared" si="47"/>
        <v>1</v>
      </c>
      <c r="E47" s="48">
        <f t="shared" si="21"/>
        <v>700</v>
      </c>
      <c r="F47" s="205">
        <f t="shared" si="22"/>
        <v>12</v>
      </c>
      <c r="G47" s="192">
        <f t="shared" si="23"/>
        <v>8400</v>
      </c>
      <c r="I47" s="58">
        <f t="shared" si="24"/>
        <v>20</v>
      </c>
      <c r="J47" s="74">
        <f t="shared" si="25"/>
        <v>41</v>
      </c>
      <c r="K47" s="74">
        <f t="shared" si="3"/>
        <v>12</v>
      </c>
      <c r="L47" s="52">
        <f t="shared" si="26"/>
        <v>6000</v>
      </c>
      <c r="M47" s="74">
        <f t="shared" si="4"/>
        <v>2400</v>
      </c>
      <c r="N47" s="74">
        <f t="shared" si="27"/>
        <v>8400</v>
      </c>
      <c r="O47" s="180">
        <f t="shared" si="28"/>
        <v>700</v>
      </c>
      <c r="Q47" s="58">
        <f t="shared" si="5"/>
        <v>20</v>
      </c>
      <c r="R47" s="52">
        <f t="shared" si="6"/>
        <v>42</v>
      </c>
      <c r="S47" s="52">
        <f t="shared" si="7"/>
        <v>1</v>
      </c>
      <c r="T47" s="54">
        <f t="shared" si="48"/>
        <v>0.1</v>
      </c>
      <c r="U47" s="52">
        <f t="shared" si="8"/>
        <v>2400</v>
      </c>
      <c r="V47" s="52">
        <f t="shared" si="29"/>
        <v>6641.0950559620351</v>
      </c>
      <c r="W47" s="52">
        <f t="shared" si="30"/>
        <v>240</v>
      </c>
      <c r="X47" s="87">
        <f t="shared" si="31"/>
        <v>265.64380223848138</v>
      </c>
      <c r="Y47" s="53">
        <f t="shared" si="32"/>
        <v>7146.7388582005169</v>
      </c>
      <c r="AA47" s="58">
        <f t="shared" si="9"/>
        <v>20</v>
      </c>
      <c r="AB47" s="52">
        <f t="shared" si="10"/>
        <v>42</v>
      </c>
      <c r="AC47" s="52">
        <f t="shared" si="11"/>
        <v>0</v>
      </c>
      <c r="AD47" s="54">
        <f t="shared" si="49"/>
        <v>0.15</v>
      </c>
      <c r="AE47" s="52">
        <f t="shared" si="12"/>
        <v>8400</v>
      </c>
      <c r="AF47" s="52">
        <f t="shared" si="33"/>
        <v>0</v>
      </c>
      <c r="AG47" s="52">
        <f t="shared" si="34"/>
        <v>0</v>
      </c>
      <c r="AH47" s="52">
        <f t="shared" si="13"/>
        <v>0</v>
      </c>
      <c r="AI47" s="53">
        <f t="shared" si="35"/>
        <v>0</v>
      </c>
      <c r="AK47" s="58">
        <f t="shared" si="36"/>
        <v>20</v>
      </c>
      <c r="AL47" s="52">
        <f t="shared" si="36"/>
        <v>42</v>
      </c>
      <c r="AM47" s="52">
        <f t="shared" si="14"/>
        <v>1</v>
      </c>
      <c r="AN47" s="54">
        <f t="shared" si="15"/>
        <v>0.13500000000000001</v>
      </c>
      <c r="AO47" s="54">
        <f t="shared" si="16"/>
        <v>0.18</v>
      </c>
      <c r="AP47" s="207">
        <f t="shared" si="37"/>
        <v>8400</v>
      </c>
      <c r="AQ47" s="52">
        <f t="shared" si="38"/>
        <v>34865.749043800679</v>
      </c>
      <c r="AR47" s="52">
        <f t="shared" si="39"/>
        <v>1260</v>
      </c>
      <c r="AS47" s="48">
        <f t="shared" si="40"/>
        <v>1394.6299617520272</v>
      </c>
      <c r="AT47" s="53">
        <f t="shared" si="41"/>
        <v>37520.379005552706</v>
      </c>
      <c r="AV47" s="58">
        <f t="shared" si="17"/>
        <v>20</v>
      </c>
      <c r="AW47" s="52">
        <f t="shared" si="17"/>
        <v>42</v>
      </c>
      <c r="AX47" s="48">
        <v>1</v>
      </c>
      <c r="AY47" s="54">
        <f t="shared" si="18"/>
        <v>0.13500000000000001</v>
      </c>
      <c r="AZ47" s="54">
        <f t="shared" si="19"/>
        <v>0.18</v>
      </c>
      <c r="BA47" s="207">
        <f t="shared" si="42"/>
        <v>8400</v>
      </c>
      <c r="BB47" s="52">
        <f t="shared" si="43"/>
        <v>34865.749043800679</v>
      </c>
      <c r="BC47" s="48">
        <f t="shared" si="44"/>
        <v>1260</v>
      </c>
      <c r="BD47" s="48">
        <f t="shared" si="45"/>
        <v>1394.6299617520272</v>
      </c>
      <c r="BE47" s="53">
        <f t="shared" si="46"/>
        <v>37520.379005552706</v>
      </c>
    </row>
    <row r="48" spans="2:57" ht="15.75" thickTop="1" thickBot="1">
      <c r="B48" s="58">
        <f t="shared" si="50"/>
        <v>21</v>
      </c>
      <c r="C48" s="52">
        <f t="shared" si="50"/>
        <v>42</v>
      </c>
      <c r="D48" s="185">
        <f t="shared" si="47"/>
        <v>1</v>
      </c>
      <c r="E48" s="48">
        <f t="shared" si="21"/>
        <v>700</v>
      </c>
      <c r="F48" s="205">
        <f t="shared" si="22"/>
        <v>12</v>
      </c>
      <c r="G48" s="192">
        <f t="shared" si="23"/>
        <v>8400</v>
      </c>
      <c r="I48" s="58">
        <f t="shared" si="24"/>
        <v>21</v>
      </c>
      <c r="J48" s="74">
        <f t="shared" si="25"/>
        <v>42</v>
      </c>
      <c r="K48" s="74">
        <f t="shared" si="3"/>
        <v>12</v>
      </c>
      <c r="L48" s="52">
        <f t="shared" si="26"/>
        <v>6000</v>
      </c>
      <c r="M48" s="74">
        <f t="shared" si="4"/>
        <v>2400</v>
      </c>
      <c r="N48" s="74">
        <f t="shared" si="27"/>
        <v>8400</v>
      </c>
      <c r="O48" s="180">
        <f t="shared" si="28"/>
        <v>700</v>
      </c>
      <c r="Q48" s="58">
        <f t="shared" si="5"/>
        <v>21</v>
      </c>
      <c r="R48" s="52">
        <f t="shared" si="6"/>
        <v>43</v>
      </c>
      <c r="S48" s="52">
        <f t="shared" si="7"/>
        <v>1</v>
      </c>
      <c r="T48" s="54">
        <f t="shared" si="48"/>
        <v>0.1</v>
      </c>
      <c r="U48" s="52">
        <f t="shared" si="8"/>
        <v>2400</v>
      </c>
      <c r="V48" s="52">
        <f t="shared" si="29"/>
        <v>7146.7388582005169</v>
      </c>
      <c r="W48" s="52">
        <f t="shared" si="30"/>
        <v>240</v>
      </c>
      <c r="X48" s="87">
        <f t="shared" si="31"/>
        <v>285.86955432802068</v>
      </c>
      <c r="Y48" s="53">
        <f t="shared" si="32"/>
        <v>7672.6084125285379</v>
      </c>
      <c r="AA48" s="58">
        <f t="shared" si="9"/>
        <v>21</v>
      </c>
      <c r="AB48" s="52">
        <f t="shared" si="10"/>
        <v>43</v>
      </c>
      <c r="AC48" s="52">
        <f t="shared" si="11"/>
        <v>0</v>
      </c>
      <c r="AD48" s="54">
        <f t="shared" si="49"/>
        <v>0.15</v>
      </c>
      <c r="AE48" s="52">
        <f t="shared" si="12"/>
        <v>8400</v>
      </c>
      <c r="AF48" s="52">
        <f t="shared" si="33"/>
        <v>0</v>
      </c>
      <c r="AG48" s="52">
        <f t="shared" si="34"/>
        <v>0</v>
      </c>
      <c r="AH48" s="52">
        <f t="shared" si="13"/>
        <v>0</v>
      </c>
      <c r="AI48" s="53">
        <f t="shared" si="35"/>
        <v>0</v>
      </c>
      <c r="AK48" s="58">
        <f t="shared" si="36"/>
        <v>21</v>
      </c>
      <c r="AL48" s="52">
        <f t="shared" si="36"/>
        <v>43</v>
      </c>
      <c r="AM48" s="52">
        <f t="shared" si="14"/>
        <v>1</v>
      </c>
      <c r="AN48" s="54">
        <f t="shared" si="15"/>
        <v>0.13500000000000001</v>
      </c>
      <c r="AO48" s="54">
        <f t="shared" si="16"/>
        <v>0.18</v>
      </c>
      <c r="AP48" s="207">
        <f t="shared" si="37"/>
        <v>8400</v>
      </c>
      <c r="AQ48" s="52">
        <f t="shared" si="38"/>
        <v>37520.379005552706</v>
      </c>
      <c r="AR48" s="52">
        <f t="shared" si="39"/>
        <v>1260</v>
      </c>
      <c r="AS48" s="48">
        <f t="shared" si="40"/>
        <v>1500.8151602221083</v>
      </c>
      <c r="AT48" s="53">
        <f t="shared" si="41"/>
        <v>40281.194165774818</v>
      </c>
      <c r="AV48" s="58">
        <f t="shared" si="17"/>
        <v>21</v>
      </c>
      <c r="AW48" s="52">
        <f t="shared" si="17"/>
        <v>43</v>
      </c>
      <c r="AX48" s="48">
        <v>1</v>
      </c>
      <c r="AY48" s="54">
        <f t="shared" si="18"/>
        <v>0.13500000000000001</v>
      </c>
      <c r="AZ48" s="54">
        <f t="shared" si="19"/>
        <v>0.18</v>
      </c>
      <c r="BA48" s="207">
        <f t="shared" si="42"/>
        <v>8400</v>
      </c>
      <c r="BB48" s="52">
        <f t="shared" si="43"/>
        <v>37520.379005552706</v>
      </c>
      <c r="BC48" s="48">
        <f t="shared" si="44"/>
        <v>1260</v>
      </c>
      <c r="BD48" s="48">
        <f t="shared" si="45"/>
        <v>1500.8151602221083</v>
      </c>
      <c r="BE48" s="53">
        <f t="shared" si="46"/>
        <v>40281.194165774818</v>
      </c>
    </row>
    <row r="49" spans="2:57" ht="15.75" thickTop="1" thickBot="1">
      <c r="B49" s="58">
        <f t="shared" si="50"/>
        <v>22</v>
      </c>
      <c r="C49" s="52">
        <f t="shared" si="50"/>
        <v>43</v>
      </c>
      <c r="D49" s="185">
        <f t="shared" si="47"/>
        <v>1</v>
      </c>
      <c r="E49" s="48">
        <f t="shared" si="21"/>
        <v>700</v>
      </c>
      <c r="F49" s="205">
        <f t="shared" si="22"/>
        <v>12</v>
      </c>
      <c r="G49" s="192">
        <f t="shared" si="23"/>
        <v>8400</v>
      </c>
      <c r="I49" s="58">
        <f t="shared" si="24"/>
        <v>22</v>
      </c>
      <c r="J49" s="74">
        <f t="shared" si="25"/>
        <v>43</v>
      </c>
      <c r="K49" s="74">
        <f t="shared" si="3"/>
        <v>12</v>
      </c>
      <c r="L49" s="52">
        <f t="shared" si="26"/>
        <v>6000</v>
      </c>
      <c r="M49" s="74">
        <f t="shared" si="4"/>
        <v>2400</v>
      </c>
      <c r="N49" s="74">
        <f t="shared" si="27"/>
        <v>8400</v>
      </c>
      <c r="O49" s="180">
        <f t="shared" si="28"/>
        <v>700</v>
      </c>
      <c r="Q49" s="58">
        <f t="shared" si="5"/>
        <v>22</v>
      </c>
      <c r="R49" s="52">
        <f t="shared" si="6"/>
        <v>44</v>
      </c>
      <c r="S49" s="52">
        <f t="shared" si="7"/>
        <v>1</v>
      </c>
      <c r="T49" s="54">
        <f t="shared" si="48"/>
        <v>0.1</v>
      </c>
      <c r="U49" s="52">
        <f t="shared" si="8"/>
        <v>2400</v>
      </c>
      <c r="V49" s="52">
        <f t="shared" si="29"/>
        <v>7672.6084125285379</v>
      </c>
      <c r="W49" s="52">
        <f t="shared" si="30"/>
        <v>240</v>
      </c>
      <c r="X49" s="87">
        <f t="shared" si="31"/>
        <v>306.90433650114153</v>
      </c>
      <c r="Y49" s="53">
        <f t="shared" si="32"/>
        <v>8219.51274902968</v>
      </c>
      <c r="AA49" s="58">
        <f t="shared" si="9"/>
        <v>22</v>
      </c>
      <c r="AB49" s="52">
        <f t="shared" si="10"/>
        <v>44</v>
      </c>
      <c r="AC49" s="52">
        <f t="shared" si="11"/>
        <v>0</v>
      </c>
      <c r="AD49" s="54">
        <f t="shared" si="49"/>
        <v>0.15</v>
      </c>
      <c r="AE49" s="52">
        <f t="shared" si="12"/>
        <v>8400</v>
      </c>
      <c r="AF49" s="52">
        <f t="shared" si="33"/>
        <v>0</v>
      </c>
      <c r="AG49" s="52">
        <f t="shared" si="34"/>
        <v>0</v>
      </c>
      <c r="AH49" s="52">
        <f t="shared" si="13"/>
        <v>0</v>
      </c>
      <c r="AI49" s="53">
        <f t="shared" si="35"/>
        <v>0</v>
      </c>
      <c r="AK49" s="58">
        <f t="shared" si="36"/>
        <v>22</v>
      </c>
      <c r="AL49" s="52">
        <f t="shared" si="36"/>
        <v>44</v>
      </c>
      <c r="AM49" s="52">
        <f t="shared" si="14"/>
        <v>1</v>
      </c>
      <c r="AN49" s="54">
        <f t="shared" si="15"/>
        <v>0.13500000000000001</v>
      </c>
      <c r="AO49" s="54">
        <f t="shared" si="16"/>
        <v>0.18</v>
      </c>
      <c r="AP49" s="207">
        <f t="shared" si="37"/>
        <v>8400</v>
      </c>
      <c r="AQ49" s="52">
        <f t="shared" si="38"/>
        <v>40281.194165774818</v>
      </c>
      <c r="AR49" s="52">
        <f t="shared" si="39"/>
        <v>1260</v>
      </c>
      <c r="AS49" s="48">
        <f t="shared" si="40"/>
        <v>1611.2477666309928</v>
      </c>
      <c r="AT49" s="53">
        <f t="shared" si="41"/>
        <v>43152.441932405811</v>
      </c>
      <c r="AV49" s="58">
        <f t="shared" si="17"/>
        <v>22</v>
      </c>
      <c r="AW49" s="52">
        <f t="shared" si="17"/>
        <v>44</v>
      </c>
      <c r="AX49" s="48">
        <v>1</v>
      </c>
      <c r="AY49" s="54">
        <f t="shared" si="18"/>
        <v>0.13500000000000001</v>
      </c>
      <c r="AZ49" s="54">
        <f t="shared" si="19"/>
        <v>0.18</v>
      </c>
      <c r="BA49" s="207">
        <f t="shared" si="42"/>
        <v>8400</v>
      </c>
      <c r="BB49" s="52">
        <f t="shared" si="43"/>
        <v>40281.194165774818</v>
      </c>
      <c r="BC49" s="48">
        <f t="shared" si="44"/>
        <v>1260</v>
      </c>
      <c r="BD49" s="48">
        <f t="shared" si="45"/>
        <v>1611.2477666309928</v>
      </c>
      <c r="BE49" s="53">
        <f t="shared" si="46"/>
        <v>43152.441932405811</v>
      </c>
    </row>
    <row r="50" spans="2:57" ht="15.75" thickTop="1" thickBot="1">
      <c r="B50" s="58">
        <f t="shared" si="50"/>
        <v>23</v>
      </c>
      <c r="C50" s="52">
        <f t="shared" si="50"/>
        <v>44</v>
      </c>
      <c r="D50" s="185">
        <f t="shared" si="47"/>
        <v>1</v>
      </c>
      <c r="E50" s="48">
        <f t="shared" si="21"/>
        <v>700</v>
      </c>
      <c r="F50" s="205">
        <f t="shared" si="22"/>
        <v>12</v>
      </c>
      <c r="G50" s="192">
        <f t="shared" si="23"/>
        <v>8400</v>
      </c>
      <c r="I50" s="58">
        <f t="shared" si="24"/>
        <v>23</v>
      </c>
      <c r="J50" s="74">
        <f t="shared" si="25"/>
        <v>44</v>
      </c>
      <c r="K50" s="74">
        <f t="shared" si="3"/>
        <v>12</v>
      </c>
      <c r="L50" s="52">
        <f t="shared" si="26"/>
        <v>6000</v>
      </c>
      <c r="M50" s="74">
        <f t="shared" si="4"/>
        <v>2400</v>
      </c>
      <c r="N50" s="74">
        <f t="shared" si="27"/>
        <v>8400</v>
      </c>
      <c r="O50" s="180">
        <f t="shared" si="28"/>
        <v>700</v>
      </c>
      <c r="Q50" s="58">
        <f t="shared" si="5"/>
        <v>23</v>
      </c>
      <c r="R50" s="52">
        <f t="shared" si="6"/>
        <v>45</v>
      </c>
      <c r="S50" s="52">
        <f t="shared" si="7"/>
        <v>1</v>
      </c>
      <c r="T50" s="54">
        <f t="shared" si="48"/>
        <v>0.1</v>
      </c>
      <c r="U50" s="52">
        <f t="shared" si="8"/>
        <v>2400</v>
      </c>
      <c r="V50" s="52">
        <f t="shared" si="29"/>
        <v>8219.51274902968</v>
      </c>
      <c r="W50" s="52">
        <f t="shared" si="30"/>
        <v>240</v>
      </c>
      <c r="X50" s="87">
        <f t="shared" si="31"/>
        <v>328.78050996118719</v>
      </c>
      <c r="Y50" s="53">
        <f t="shared" si="32"/>
        <v>8788.2932589908669</v>
      </c>
      <c r="AA50" s="58">
        <f t="shared" si="9"/>
        <v>23</v>
      </c>
      <c r="AB50" s="52">
        <f t="shared" si="10"/>
        <v>45</v>
      </c>
      <c r="AC50" s="52">
        <f t="shared" si="11"/>
        <v>0</v>
      </c>
      <c r="AD50" s="54">
        <f t="shared" si="49"/>
        <v>0.15</v>
      </c>
      <c r="AE50" s="52">
        <f t="shared" si="12"/>
        <v>8400</v>
      </c>
      <c r="AF50" s="52">
        <f t="shared" si="33"/>
        <v>0</v>
      </c>
      <c r="AG50" s="52">
        <f t="shared" si="34"/>
        <v>0</v>
      </c>
      <c r="AH50" s="52">
        <f t="shared" si="13"/>
        <v>0</v>
      </c>
      <c r="AI50" s="53">
        <f t="shared" si="35"/>
        <v>0</v>
      </c>
      <c r="AK50" s="58">
        <f t="shared" si="36"/>
        <v>23</v>
      </c>
      <c r="AL50" s="52">
        <f t="shared" si="36"/>
        <v>45</v>
      </c>
      <c r="AM50" s="52">
        <f t="shared" si="14"/>
        <v>1</v>
      </c>
      <c r="AN50" s="54">
        <f t="shared" si="15"/>
        <v>0.13500000000000001</v>
      </c>
      <c r="AO50" s="54">
        <f t="shared" si="16"/>
        <v>0.18</v>
      </c>
      <c r="AP50" s="207">
        <f t="shared" si="37"/>
        <v>8400</v>
      </c>
      <c r="AQ50" s="52">
        <f t="shared" si="38"/>
        <v>43152.441932405811</v>
      </c>
      <c r="AR50" s="52">
        <f t="shared" si="39"/>
        <v>1260</v>
      </c>
      <c r="AS50" s="48">
        <f t="shared" si="40"/>
        <v>1726.0976772962324</v>
      </c>
      <c r="AT50" s="53">
        <f t="shared" si="41"/>
        <v>46138.539609702042</v>
      </c>
      <c r="AV50" s="58">
        <f t="shared" si="17"/>
        <v>23</v>
      </c>
      <c r="AW50" s="52">
        <f t="shared" si="17"/>
        <v>45</v>
      </c>
      <c r="AX50" s="48">
        <v>1</v>
      </c>
      <c r="AY50" s="54">
        <f t="shared" si="18"/>
        <v>0.13500000000000001</v>
      </c>
      <c r="AZ50" s="54">
        <f t="shared" si="19"/>
        <v>0.18</v>
      </c>
      <c r="BA50" s="207">
        <f t="shared" si="42"/>
        <v>8400</v>
      </c>
      <c r="BB50" s="52">
        <f t="shared" si="43"/>
        <v>43152.441932405811</v>
      </c>
      <c r="BC50" s="48">
        <f t="shared" si="44"/>
        <v>1260</v>
      </c>
      <c r="BD50" s="48">
        <f t="shared" si="45"/>
        <v>1726.0976772962324</v>
      </c>
      <c r="BE50" s="53">
        <f t="shared" si="46"/>
        <v>46138.539609702042</v>
      </c>
    </row>
    <row r="51" spans="2:57" ht="15.75" thickTop="1" thickBot="1">
      <c r="B51" s="58">
        <f t="shared" si="50"/>
        <v>24</v>
      </c>
      <c r="C51" s="52">
        <f t="shared" si="50"/>
        <v>45</v>
      </c>
      <c r="D51" s="185">
        <f t="shared" si="47"/>
        <v>1</v>
      </c>
      <c r="E51" s="48">
        <f t="shared" si="21"/>
        <v>700</v>
      </c>
      <c r="F51" s="205">
        <f t="shared" si="22"/>
        <v>12</v>
      </c>
      <c r="G51" s="192">
        <f t="shared" si="23"/>
        <v>8400</v>
      </c>
      <c r="I51" s="58">
        <f t="shared" si="24"/>
        <v>24</v>
      </c>
      <c r="J51" s="74">
        <f t="shared" si="25"/>
        <v>45</v>
      </c>
      <c r="K51" s="74">
        <f t="shared" si="3"/>
        <v>12</v>
      </c>
      <c r="L51" s="52">
        <f t="shared" si="26"/>
        <v>6000</v>
      </c>
      <c r="M51" s="74">
        <f t="shared" si="4"/>
        <v>2400</v>
      </c>
      <c r="N51" s="74">
        <f t="shared" si="27"/>
        <v>8400</v>
      </c>
      <c r="O51" s="180">
        <f t="shared" si="28"/>
        <v>700</v>
      </c>
      <c r="Q51" s="58">
        <f t="shared" si="5"/>
        <v>24</v>
      </c>
      <c r="R51" s="52">
        <f t="shared" si="6"/>
        <v>46</v>
      </c>
      <c r="S51" s="52">
        <f t="shared" si="7"/>
        <v>1</v>
      </c>
      <c r="T51" s="54">
        <f t="shared" si="48"/>
        <v>0.1</v>
      </c>
      <c r="U51" s="52">
        <f t="shared" si="8"/>
        <v>2400</v>
      </c>
      <c r="V51" s="52">
        <f t="shared" si="29"/>
        <v>8788.2932589908669</v>
      </c>
      <c r="W51" s="52">
        <f t="shared" si="30"/>
        <v>240</v>
      </c>
      <c r="X51" s="87">
        <f t="shared" si="31"/>
        <v>351.53173035963471</v>
      </c>
      <c r="Y51" s="53">
        <f t="shared" si="32"/>
        <v>9379.8249893505017</v>
      </c>
      <c r="AA51" s="58">
        <f t="shared" si="9"/>
        <v>24</v>
      </c>
      <c r="AB51" s="52">
        <f t="shared" si="10"/>
        <v>46</v>
      </c>
      <c r="AC51" s="52">
        <f t="shared" si="11"/>
        <v>0</v>
      </c>
      <c r="AD51" s="54">
        <f t="shared" si="49"/>
        <v>0.15</v>
      </c>
      <c r="AE51" s="52">
        <f t="shared" si="12"/>
        <v>8400</v>
      </c>
      <c r="AF51" s="52">
        <f t="shared" si="33"/>
        <v>0</v>
      </c>
      <c r="AG51" s="52">
        <f t="shared" si="34"/>
        <v>0</v>
      </c>
      <c r="AH51" s="52">
        <f t="shared" si="13"/>
        <v>0</v>
      </c>
      <c r="AI51" s="53">
        <f t="shared" si="35"/>
        <v>0</v>
      </c>
      <c r="AK51" s="58">
        <f t="shared" si="36"/>
        <v>24</v>
      </c>
      <c r="AL51" s="52">
        <f t="shared" si="36"/>
        <v>46</v>
      </c>
      <c r="AM51" s="52">
        <f t="shared" si="14"/>
        <v>1</v>
      </c>
      <c r="AN51" s="54">
        <f t="shared" si="15"/>
        <v>0.13500000000000001</v>
      </c>
      <c r="AO51" s="54">
        <f t="shared" si="16"/>
        <v>0.18</v>
      </c>
      <c r="AP51" s="207">
        <f t="shared" si="37"/>
        <v>8400</v>
      </c>
      <c r="AQ51" s="52">
        <f t="shared" si="38"/>
        <v>46138.539609702042</v>
      </c>
      <c r="AR51" s="52">
        <f t="shared" si="39"/>
        <v>1260</v>
      </c>
      <c r="AS51" s="48">
        <f t="shared" si="40"/>
        <v>1845.5415843880817</v>
      </c>
      <c r="AT51" s="53">
        <f t="shared" si="41"/>
        <v>49244.081194090126</v>
      </c>
      <c r="AV51" s="58">
        <f t="shared" si="17"/>
        <v>24</v>
      </c>
      <c r="AW51" s="52">
        <f t="shared" si="17"/>
        <v>46</v>
      </c>
      <c r="AX51" s="48">
        <v>1</v>
      </c>
      <c r="AY51" s="54">
        <f t="shared" si="18"/>
        <v>0.13500000000000001</v>
      </c>
      <c r="AZ51" s="54">
        <f t="shared" si="19"/>
        <v>0.18</v>
      </c>
      <c r="BA51" s="207">
        <f t="shared" si="42"/>
        <v>8400</v>
      </c>
      <c r="BB51" s="52">
        <f t="shared" si="43"/>
        <v>46138.539609702042</v>
      </c>
      <c r="BC51" s="48">
        <f t="shared" si="44"/>
        <v>1260</v>
      </c>
      <c r="BD51" s="48">
        <f t="shared" si="45"/>
        <v>1845.5415843880817</v>
      </c>
      <c r="BE51" s="53">
        <f t="shared" si="46"/>
        <v>49244.081194090126</v>
      </c>
    </row>
    <row r="52" spans="2:57" ht="15.75" thickTop="1" thickBot="1">
      <c r="B52" s="58">
        <f t="shared" si="50"/>
        <v>25</v>
      </c>
      <c r="C52" s="52">
        <f t="shared" si="50"/>
        <v>46</v>
      </c>
      <c r="D52" s="185">
        <f t="shared" si="47"/>
        <v>1</v>
      </c>
      <c r="E52" s="48">
        <f t="shared" si="21"/>
        <v>700</v>
      </c>
      <c r="F52" s="205">
        <f t="shared" si="22"/>
        <v>12</v>
      </c>
      <c r="G52" s="192">
        <f t="shared" si="23"/>
        <v>8400</v>
      </c>
      <c r="I52" s="58">
        <f t="shared" si="24"/>
        <v>25</v>
      </c>
      <c r="J52" s="74">
        <f t="shared" si="25"/>
        <v>46</v>
      </c>
      <c r="K52" s="74">
        <f t="shared" si="3"/>
        <v>12</v>
      </c>
      <c r="L52" s="125">
        <f t="shared" si="26"/>
        <v>6000</v>
      </c>
      <c r="M52" s="74">
        <f t="shared" si="4"/>
        <v>2400</v>
      </c>
      <c r="N52" s="74">
        <f t="shared" si="27"/>
        <v>8400</v>
      </c>
      <c r="O52" s="180">
        <f t="shared" si="28"/>
        <v>700</v>
      </c>
      <c r="Q52" s="58">
        <f t="shared" si="5"/>
        <v>25</v>
      </c>
      <c r="R52" s="52">
        <f t="shared" si="6"/>
        <v>47</v>
      </c>
      <c r="S52" s="52">
        <f t="shared" si="7"/>
        <v>1</v>
      </c>
      <c r="T52" s="54">
        <f t="shared" si="48"/>
        <v>0.1</v>
      </c>
      <c r="U52" s="52">
        <f t="shared" si="8"/>
        <v>2400</v>
      </c>
      <c r="V52" s="52">
        <f t="shared" si="29"/>
        <v>9379.8249893505017</v>
      </c>
      <c r="W52" s="52">
        <f t="shared" si="30"/>
        <v>240</v>
      </c>
      <c r="X52" s="87">
        <f t="shared" si="31"/>
        <v>375.19299957402006</v>
      </c>
      <c r="Y52" s="53">
        <f t="shared" si="32"/>
        <v>9995.017988924521</v>
      </c>
      <c r="AA52" s="58">
        <f t="shared" si="9"/>
        <v>25</v>
      </c>
      <c r="AB52" s="52">
        <f t="shared" si="10"/>
        <v>47</v>
      </c>
      <c r="AC52" s="52">
        <f t="shared" si="11"/>
        <v>0</v>
      </c>
      <c r="AD52" s="54">
        <f t="shared" si="49"/>
        <v>0.15</v>
      </c>
      <c r="AE52" s="52">
        <f t="shared" si="12"/>
        <v>8400</v>
      </c>
      <c r="AF52" s="52">
        <f t="shared" si="33"/>
        <v>0</v>
      </c>
      <c r="AG52" s="52">
        <f t="shared" si="34"/>
        <v>0</v>
      </c>
      <c r="AH52" s="52">
        <f t="shared" si="13"/>
        <v>0</v>
      </c>
      <c r="AI52" s="53">
        <f t="shared" si="35"/>
        <v>0</v>
      </c>
      <c r="AK52" s="58">
        <f t="shared" si="36"/>
        <v>25</v>
      </c>
      <c r="AL52" s="52">
        <f t="shared" si="36"/>
        <v>47</v>
      </c>
      <c r="AM52" s="52">
        <f t="shared" si="14"/>
        <v>1</v>
      </c>
      <c r="AN52" s="54">
        <f t="shared" si="15"/>
        <v>0.13500000000000001</v>
      </c>
      <c r="AO52" s="54">
        <f t="shared" si="16"/>
        <v>0.18</v>
      </c>
      <c r="AP52" s="207">
        <f t="shared" si="37"/>
        <v>8400</v>
      </c>
      <c r="AQ52" s="52">
        <f t="shared" si="38"/>
        <v>49244.081194090126</v>
      </c>
      <c r="AR52" s="52">
        <f t="shared" si="39"/>
        <v>1260</v>
      </c>
      <c r="AS52" s="48">
        <f t="shared" si="40"/>
        <v>1969.763247763605</v>
      </c>
      <c r="AT52" s="53">
        <f t="shared" si="41"/>
        <v>52473.844441853733</v>
      </c>
      <c r="AV52" s="58">
        <f t="shared" si="17"/>
        <v>25</v>
      </c>
      <c r="AW52" s="52">
        <f t="shared" si="17"/>
        <v>47</v>
      </c>
      <c r="AX52" s="48">
        <v>1</v>
      </c>
      <c r="AY52" s="54">
        <f t="shared" si="18"/>
        <v>0.13500000000000001</v>
      </c>
      <c r="AZ52" s="54">
        <f t="shared" si="19"/>
        <v>0.18</v>
      </c>
      <c r="BA52" s="207">
        <f t="shared" si="42"/>
        <v>8400</v>
      </c>
      <c r="BB52" s="52">
        <f t="shared" si="43"/>
        <v>49244.081194090126</v>
      </c>
      <c r="BC52" s="48">
        <f t="shared" si="44"/>
        <v>1260</v>
      </c>
      <c r="BD52" s="48">
        <f t="shared" si="45"/>
        <v>1969.763247763605</v>
      </c>
      <c r="BE52" s="53">
        <f t="shared" si="46"/>
        <v>52473.844441853733</v>
      </c>
    </row>
    <row r="53" spans="2:57" ht="15.75" thickTop="1" thickBot="1">
      <c r="B53" s="58">
        <f t="shared" si="50"/>
        <v>26</v>
      </c>
      <c r="C53" s="52">
        <f t="shared" si="50"/>
        <v>47</v>
      </c>
      <c r="D53" s="185">
        <f t="shared" si="47"/>
        <v>1</v>
      </c>
      <c r="E53" s="48">
        <f t="shared" si="21"/>
        <v>700</v>
      </c>
      <c r="F53" s="205">
        <f t="shared" si="22"/>
        <v>12</v>
      </c>
      <c r="G53" s="192">
        <f t="shared" si="23"/>
        <v>8400</v>
      </c>
      <c r="I53" s="58">
        <f t="shared" si="24"/>
        <v>26</v>
      </c>
      <c r="J53" s="74">
        <f t="shared" si="25"/>
        <v>47</v>
      </c>
      <c r="K53" s="74">
        <f t="shared" si="3"/>
        <v>12</v>
      </c>
      <c r="L53" s="125">
        <f t="shared" si="26"/>
        <v>6000</v>
      </c>
      <c r="M53" s="74">
        <f t="shared" si="4"/>
        <v>2400</v>
      </c>
      <c r="N53" s="74">
        <f t="shared" si="27"/>
        <v>8400</v>
      </c>
      <c r="O53" s="180">
        <f t="shared" si="28"/>
        <v>700</v>
      </c>
      <c r="Q53" s="58">
        <f t="shared" si="5"/>
        <v>26</v>
      </c>
      <c r="R53" s="52">
        <f t="shared" si="6"/>
        <v>48</v>
      </c>
      <c r="S53" s="52">
        <f t="shared" si="7"/>
        <v>1</v>
      </c>
      <c r="T53" s="54">
        <f t="shared" si="48"/>
        <v>0.1</v>
      </c>
      <c r="U53" s="52">
        <f t="shared" si="8"/>
        <v>2400</v>
      </c>
      <c r="V53" s="52">
        <f t="shared" si="29"/>
        <v>9995.017988924521</v>
      </c>
      <c r="W53" s="52">
        <f t="shared" si="30"/>
        <v>240</v>
      </c>
      <c r="X53" s="87">
        <f t="shared" si="31"/>
        <v>399.80071955698082</v>
      </c>
      <c r="Y53" s="53">
        <f t="shared" si="32"/>
        <v>10634.818708481502</v>
      </c>
      <c r="AA53" s="58">
        <f t="shared" si="9"/>
        <v>26</v>
      </c>
      <c r="AB53" s="52">
        <f t="shared" si="10"/>
        <v>48</v>
      </c>
      <c r="AC53" s="52">
        <f t="shared" si="11"/>
        <v>0</v>
      </c>
      <c r="AD53" s="54">
        <f t="shared" si="49"/>
        <v>0.15</v>
      </c>
      <c r="AE53" s="52">
        <f t="shared" si="12"/>
        <v>8400</v>
      </c>
      <c r="AF53" s="52">
        <f t="shared" si="33"/>
        <v>0</v>
      </c>
      <c r="AG53" s="52">
        <f t="shared" si="34"/>
        <v>0</v>
      </c>
      <c r="AH53" s="52">
        <f t="shared" si="13"/>
        <v>0</v>
      </c>
      <c r="AI53" s="53">
        <f t="shared" si="35"/>
        <v>0</v>
      </c>
      <c r="AK53" s="58">
        <f t="shared" si="36"/>
        <v>26</v>
      </c>
      <c r="AL53" s="52">
        <f t="shared" si="36"/>
        <v>48</v>
      </c>
      <c r="AM53" s="52">
        <f t="shared" si="14"/>
        <v>1</v>
      </c>
      <c r="AN53" s="54">
        <f t="shared" si="15"/>
        <v>0.13500000000000001</v>
      </c>
      <c r="AO53" s="54">
        <f t="shared" si="16"/>
        <v>0.18</v>
      </c>
      <c r="AP53" s="207">
        <f t="shared" si="37"/>
        <v>8400</v>
      </c>
      <c r="AQ53" s="52">
        <f t="shared" si="38"/>
        <v>52473.844441853733</v>
      </c>
      <c r="AR53" s="52">
        <f t="shared" si="39"/>
        <v>1260</v>
      </c>
      <c r="AS53" s="48">
        <f t="shared" si="40"/>
        <v>2098.9537776741495</v>
      </c>
      <c r="AT53" s="53">
        <f t="shared" si="41"/>
        <v>55832.798219527882</v>
      </c>
      <c r="AV53" s="58">
        <f t="shared" si="17"/>
        <v>26</v>
      </c>
      <c r="AW53" s="52">
        <f t="shared" si="17"/>
        <v>48</v>
      </c>
      <c r="AX53" s="48">
        <v>1</v>
      </c>
      <c r="AY53" s="54">
        <f t="shared" si="18"/>
        <v>0.13500000000000001</v>
      </c>
      <c r="AZ53" s="54">
        <f t="shared" si="19"/>
        <v>0.18</v>
      </c>
      <c r="BA53" s="207">
        <f t="shared" si="42"/>
        <v>8400</v>
      </c>
      <c r="BB53" s="52">
        <f t="shared" si="43"/>
        <v>52473.844441853733</v>
      </c>
      <c r="BC53" s="48">
        <f t="shared" si="44"/>
        <v>1260</v>
      </c>
      <c r="BD53" s="48">
        <f t="shared" si="45"/>
        <v>2098.9537776741495</v>
      </c>
      <c r="BE53" s="53">
        <f t="shared" si="46"/>
        <v>55832.798219527882</v>
      </c>
    </row>
    <row r="54" spans="2:57" ht="15.75" thickTop="1" thickBot="1">
      <c r="B54" s="58">
        <f t="shared" si="50"/>
        <v>27</v>
      </c>
      <c r="C54" s="52">
        <f t="shared" si="50"/>
        <v>48</v>
      </c>
      <c r="D54" s="185">
        <f t="shared" si="47"/>
        <v>1</v>
      </c>
      <c r="E54" s="48">
        <f t="shared" si="21"/>
        <v>700</v>
      </c>
      <c r="F54" s="205">
        <f t="shared" si="22"/>
        <v>12</v>
      </c>
      <c r="G54" s="192">
        <f t="shared" si="23"/>
        <v>8400</v>
      </c>
      <c r="I54" s="58">
        <f t="shared" si="24"/>
        <v>27</v>
      </c>
      <c r="J54" s="74">
        <f t="shared" si="25"/>
        <v>48</v>
      </c>
      <c r="K54" s="74">
        <f t="shared" si="3"/>
        <v>12</v>
      </c>
      <c r="L54" s="125">
        <f t="shared" si="26"/>
        <v>6000</v>
      </c>
      <c r="M54" s="74">
        <f t="shared" si="4"/>
        <v>2400</v>
      </c>
      <c r="N54" s="74">
        <f t="shared" si="27"/>
        <v>8400</v>
      </c>
      <c r="O54" s="180">
        <f t="shared" si="28"/>
        <v>700</v>
      </c>
      <c r="Q54" s="58">
        <f t="shared" si="5"/>
        <v>27</v>
      </c>
      <c r="R54" s="52">
        <f t="shared" si="6"/>
        <v>49</v>
      </c>
      <c r="S54" s="52">
        <f t="shared" si="7"/>
        <v>1</v>
      </c>
      <c r="T54" s="54">
        <f t="shared" si="48"/>
        <v>0.1</v>
      </c>
      <c r="U54" s="52">
        <f t="shared" si="8"/>
        <v>2400</v>
      </c>
      <c r="V54" s="52">
        <f t="shared" si="29"/>
        <v>10634.818708481502</v>
      </c>
      <c r="W54" s="52">
        <f t="shared" si="30"/>
        <v>240</v>
      </c>
      <c r="X54" s="87">
        <f t="shared" si="31"/>
        <v>425.39274833926009</v>
      </c>
      <c r="Y54" s="53">
        <f t="shared" si="32"/>
        <v>11300.211456820762</v>
      </c>
      <c r="AA54" s="58">
        <f t="shared" si="9"/>
        <v>27</v>
      </c>
      <c r="AB54" s="52">
        <f t="shared" si="10"/>
        <v>49</v>
      </c>
      <c r="AC54" s="52">
        <f t="shared" si="11"/>
        <v>0</v>
      </c>
      <c r="AD54" s="54">
        <f t="shared" si="49"/>
        <v>0.15</v>
      </c>
      <c r="AE54" s="52">
        <f t="shared" si="12"/>
        <v>8400</v>
      </c>
      <c r="AF54" s="52">
        <f t="shared" si="33"/>
        <v>0</v>
      </c>
      <c r="AG54" s="52">
        <f t="shared" si="34"/>
        <v>0</v>
      </c>
      <c r="AH54" s="52">
        <f t="shared" si="13"/>
        <v>0</v>
      </c>
      <c r="AI54" s="53">
        <f t="shared" si="35"/>
        <v>0</v>
      </c>
      <c r="AK54" s="58">
        <f t="shared" si="36"/>
        <v>27</v>
      </c>
      <c r="AL54" s="52">
        <f t="shared" si="36"/>
        <v>49</v>
      </c>
      <c r="AM54" s="52">
        <f t="shared" si="14"/>
        <v>1</v>
      </c>
      <c r="AN54" s="54">
        <f t="shared" si="15"/>
        <v>0.13500000000000001</v>
      </c>
      <c r="AO54" s="54">
        <f t="shared" si="16"/>
        <v>0.18</v>
      </c>
      <c r="AP54" s="207">
        <f t="shared" si="37"/>
        <v>8400</v>
      </c>
      <c r="AQ54" s="52">
        <f t="shared" si="38"/>
        <v>55832.798219527882</v>
      </c>
      <c r="AR54" s="52">
        <f t="shared" si="39"/>
        <v>1260</v>
      </c>
      <c r="AS54" s="48">
        <f t="shared" si="40"/>
        <v>2233.3119287811155</v>
      </c>
      <c r="AT54" s="53">
        <f t="shared" si="41"/>
        <v>59326.110148308995</v>
      </c>
      <c r="AV54" s="58">
        <f t="shared" si="17"/>
        <v>27</v>
      </c>
      <c r="AW54" s="52">
        <f t="shared" si="17"/>
        <v>49</v>
      </c>
      <c r="AX54" s="48">
        <v>1</v>
      </c>
      <c r="AY54" s="54">
        <f t="shared" si="18"/>
        <v>0.13500000000000001</v>
      </c>
      <c r="AZ54" s="54">
        <f t="shared" si="19"/>
        <v>0.18</v>
      </c>
      <c r="BA54" s="207">
        <f t="shared" si="42"/>
        <v>8400</v>
      </c>
      <c r="BB54" s="52">
        <f t="shared" si="43"/>
        <v>55832.798219527882</v>
      </c>
      <c r="BC54" s="48">
        <f t="shared" si="44"/>
        <v>1260</v>
      </c>
      <c r="BD54" s="48">
        <f t="shared" si="45"/>
        <v>2233.3119287811155</v>
      </c>
      <c r="BE54" s="53">
        <f t="shared" si="46"/>
        <v>59326.110148308995</v>
      </c>
    </row>
    <row r="55" spans="2:57" ht="15.75" thickTop="1" thickBot="1">
      <c r="B55" s="58">
        <f t="shared" si="50"/>
        <v>28</v>
      </c>
      <c r="C55" s="52">
        <f t="shared" si="50"/>
        <v>49</v>
      </c>
      <c r="D55" s="185">
        <f t="shared" si="47"/>
        <v>1</v>
      </c>
      <c r="E55" s="48">
        <f t="shared" si="21"/>
        <v>700</v>
      </c>
      <c r="F55" s="205">
        <f t="shared" si="22"/>
        <v>12</v>
      </c>
      <c r="G55" s="192">
        <f t="shared" si="23"/>
        <v>8400</v>
      </c>
      <c r="I55" s="58">
        <f t="shared" si="24"/>
        <v>28</v>
      </c>
      <c r="J55" s="74">
        <f t="shared" si="25"/>
        <v>49</v>
      </c>
      <c r="K55" s="74">
        <f t="shared" si="3"/>
        <v>12</v>
      </c>
      <c r="L55" s="125">
        <f t="shared" si="26"/>
        <v>6000</v>
      </c>
      <c r="M55" s="74">
        <f t="shared" si="4"/>
        <v>2400</v>
      </c>
      <c r="N55" s="74">
        <f t="shared" si="27"/>
        <v>8400</v>
      </c>
      <c r="O55" s="180">
        <f t="shared" si="28"/>
        <v>700</v>
      </c>
      <c r="Q55" s="58">
        <f t="shared" si="5"/>
        <v>28</v>
      </c>
      <c r="R55" s="52">
        <f t="shared" si="6"/>
        <v>50</v>
      </c>
      <c r="S55" s="52">
        <f t="shared" si="7"/>
        <v>1</v>
      </c>
      <c r="T55" s="54">
        <f t="shared" si="48"/>
        <v>0.1</v>
      </c>
      <c r="U55" s="52">
        <f t="shared" si="8"/>
        <v>2400</v>
      </c>
      <c r="V55" s="52">
        <f t="shared" si="29"/>
        <v>11300.211456820762</v>
      </c>
      <c r="W55" s="52">
        <f t="shared" si="30"/>
        <v>240</v>
      </c>
      <c r="X55" s="87">
        <f t="shared" si="31"/>
        <v>452.00845827283047</v>
      </c>
      <c r="Y55" s="53">
        <f t="shared" si="32"/>
        <v>11992.219915093592</v>
      </c>
      <c r="AA55" s="58">
        <f t="shared" si="9"/>
        <v>28</v>
      </c>
      <c r="AB55" s="52">
        <f t="shared" si="10"/>
        <v>50</v>
      </c>
      <c r="AC55" s="52">
        <f t="shared" si="11"/>
        <v>0</v>
      </c>
      <c r="AD55" s="54">
        <f t="shared" si="49"/>
        <v>0.15</v>
      </c>
      <c r="AE55" s="52">
        <f t="shared" si="12"/>
        <v>8400</v>
      </c>
      <c r="AF55" s="52">
        <f t="shared" si="33"/>
        <v>0</v>
      </c>
      <c r="AG55" s="52">
        <f t="shared" si="34"/>
        <v>0</v>
      </c>
      <c r="AH55" s="52">
        <f t="shared" si="13"/>
        <v>0</v>
      </c>
      <c r="AI55" s="53">
        <f t="shared" si="35"/>
        <v>0</v>
      </c>
      <c r="AK55" s="58">
        <f t="shared" si="36"/>
        <v>28</v>
      </c>
      <c r="AL55" s="52">
        <f t="shared" si="36"/>
        <v>50</v>
      </c>
      <c r="AM55" s="52">
        <f t="shared" si="14"/>
        <v>1</v>
      </c>
      <c r="AN55" s="54">
        <f t="shared" si="15"/>
        <v>0.13500000000000001</v>
      </c>
      <c r="AO55" s="54">
        <f t="shared" si="16"/>
        <v>0.18</v>
      </c>
      <c r="AP55" s="207">
        <f t="shared" si="37"/>
        <v>8400</v>
      </c>
      <c r="AQ55" s="52">
        <f t="shared" si="38"/>
        <v>59326.110148308995</v>
      </c>
      <c r="AR55" s="52">
        <f t="shared" si="39"/>
        <v>1260</v>
      </c>
      <c r="AS55" s="48">
        <f t="shared" si="40"/>
        <v>2373.04440593236</v>
      </c>
      <c r="AT55" s="53">
        <f t="shared" si="41"/>
        <v>62959.154554241351</v>
      </c>
      <c r="AV55" s="58">
        <f t="shared" si="17"/>
        <v>28</v>
      </c>
      <c r="AW55" s="52">
        <f t="shared" si="17"/>
        <v>50</v>
      </c>
      <c r="AX55" s="48">
        <v>1</v>
      </c>
      <c r="AY55" s="54">
        <f t="shared" si="18"/>
        <v>0.13500000000000001</v>
      </c>
      <c r="AZ55" s="54">
        <f t="shared" si="19"/>
        <v>0.18</v>
      </c>
      <c r="BA55" s="207">
        <f t="shared" si="42"/>
        <v>8400</v>
      </c>
      <c r="BB55" s="52">
        <f t="shared" si="43"/>
        <v>59326.110148308995</v>
      </c>
      <c r="BC55" s="48">
        <f t="shared" si="44"/>
        <v>1260</v>
      </c>
      <c r="BD55" s="48">
        <f t="shared" si="45"/>
        <v>2373.04440593236</v>
      </c>
      <c r="BE55" s="53">
        <f t="shared" si="46"/>
        <v>62959.154554241351</v>
      </c>
    </row>
    <row r="56" spans="2:57" ht="15.75" thickTop="1" thickBot="1">
      <c r="B56" s="58">
        <f t="shared" si="50"/>
        <v>29</v>
      </c>
      <c r="C56" s="52">
        <f t="shared" si="50"/>
        <v>50</v>
      </c>
      <c r="D56" s="185">
        <f t="shared" si="47"/>
        <v>1</v>
      </c>
      <c r="E56" s="48">
        <f t="shared" si="21"/>
        <v>700</v>
      </c>
      <c r="F56" s="205">
        <f t="shared" si="22"/>
        <v>12</v>
      </c>
      <c r="G56" s="192">
        <f t="shared" si="23"/>
        <v>8400</v>
      </c>
      <c r="I56" s="58">
        <f t="shared" si="24"/>
        <v>29</v>
      </c>
      <c r="J56" s="74">
        <f t="shared" si="25"/>
        <v>50</v>
      </c>
      <c r="K56" s="74">
        <f t="shared" si="3"/>
        <v>12</v>
      </c>
      <c r="L56" s="125">
        <f t="shared" si="26"/>
        <v>6000</v>
      </c>
      <c r="M56" s="74">
        <f t="shared" si="4"/>
        <v>2400</v>
      </c>
      <c r="N56" s="74">
        <f t="shared" si="27"/>
        <v>8400</v>
      </c>
      <c r="O56" s="180">
        <f t="shared" si="28"/>
        <v>700</v>
      </c>
      <c r="Q56" s="58">
        <f t="shared" si="5"/>
        <v>29</v>
      </c>
      <c r="R56" s="52">
        <f t="shared" si="6"/>
        <v>51</v>
      </c>
      <c r="S56" s="52">
        <f t="shared" si="7"/>
        <v>1</v>
      </c>
      <c r="T56" s="54">
        <f t="shared" si="48"/>
        <v>0.1</v>
      </c>
      <c r="U56" s="52">
        <f t="shared" si="8"/>
        <v>2400</v>
      </c>
      <c r="V56" s="52">
        <f t="shared" si="29"/>
        <v>11992.219915093592</v>
      </c>
      <c r="W56" s="52">
        <f t="shared" si="30"/>
        <v>240</v>
      </c>
      <c r="X56" s="87">
        <f t="shared" si="31"/>
        <v>479.6887966037437</v>
      </c>
      <c r="Y56" s="53">
        <f t="shared" si="32"/>
        <v>12711.908711697335</v>
      </c>
      <c r="AA56" s="58">
        <f t="shared" si="9"/>
        <v>29</v>
      </c>
      <c r="AB56" s="52">
        <f t="shared" si="10"/>
        <v>51</v>
      </c>
      <c r="AC56" s="52">
        <f t="shared" si="11"/>
        <v>0</v>
      </c>
      <c r="AD56" s="54">
        <f t="shared" si="49"/>
        <v>0.15</v>
      </c>
      <c r="AE56" s="52">
        <f t="shared" si="12"/>
        <v>8400</v>
      </c>
      <c r="AF56" s="52">
        <f t="shared" si="33"/>
        <v>0</v>
      </c>
      <c r="AG56" s="52">
        <f t="shared" si="34"/>
        <v>0</v>
      </c>
      <c r="AH56" s="52">
        <f t="shared" si="13"/>
        <v>0</v>
      </c>
      <c r="AI56" s="53">
        <f t="shared" si="35"/>
        <v>0</v>
      </c>
      <c r="AK56" s="58">
        <f t="shared" si="36"/>
        <v>29</v>
      </c>
      <c r="AL56" s="52">
        <f t="shared" si="36"/>
        <v>51</v>
      </c>
      <c r="AM56" s="52">
        <f t="shared" si="14"/>
        <v>1</v>
      </c>
      <c r="AN56" s="54">
        <f t="shared" si="15"/>
        <v>0.13500000000000001</v>
      </c>
      <c r="AO56" s="54">
        <f t="shared" si="16"/>
        <v>0.18</v>
      </c>
      <c r="AP56" s="207">
        <f t="shared" si="37"/>
        <v>8400</v>
      </c>
      <c r="AQ56" s="52">
        <f t="shared" si="38"/>
        <v>62959.154554241351</v>
      </c>
      <c r="AR56" s="52">
        <f t="shared" si="39"/>
        <v>1260</v>
      </c>
      <c r="AS56" s="48">
        <f t="shared" si="40"/>
        <v>2518.3661821696542</v>
      </c>
      <c r="AT56" s="53">
        <f t="shared" si="41"/>
        <v>66737.52073641101</v>
      </c>
      <c r="AV56" s="58">
        <f t="shared" si="17"/>
        <v>29</v>
      </c>
      <c r="AW56" s="52">
        <f t="shared" si="17"/>
        <v>51</v>
      </c>
      <c r="AX56" s="48">
        <v>1</v>
      </c>
      <c r="AY56" s="54">
        <f t="shared" si="18"/>
        <v>0.13500000000000001</v>
      </c>
      <c r="AZ56" s="54">
        <f t="shared" si="19"/>
        <v>0.18</v>
      </c>
      <c r="BA56" s="207">
        <f t="shared" si="42"/>
        <v>8400</v>
      </c>
      <c r="BB56" s="52">
        <f t="shared" si="43"/>
        <v>62959.154554241351</v>
      </c>
      <c r="BC56" s="48">
        <f t="shared" si="44"/>
        <v>1260</v>
      </c>
      <c r="BD56" s="48">
        <f t="shared" si="45"/>
        <v>2518.3661821696542</v>
      </c>
      <c r="BE56" s="53">
        <f t="shared" si="46"/>
        <v>66737.52073641101</v>
      </c>
    </row>
    <row r="57" spans="2:57" ht="15.75" thickTop="1" thickBot="1">
      <c r="B57" s="58">
        <f t="shared" si="50"/>
        <v>30</v>
      </c>
      <c r="C57" s="52">
        <f t="shared" si="50"/>
        <v>51</v>
      </c>
      <c r="D57" s="185">
        <f t="shared" si="47"/>
        <v>1</v>
      </c>
      <c r="E57" s="48">
        <f t="shared" si="21"/>
        <v>700</v>
      </c>
      <c r="F57" s="205">
        <f t="shared" si="22"/>
        <v>12</v>
      </c>
      <c r="G57" s="192">
        <f t="shared" si="23"/>
        <v>8400</v>
      </c>
      <c r="I57" s="58">
        <f t="shared" si="24"/>
        <v>30</v>
      </c>
      <c r="J57" s="74">
        <f t="shared" si="25"/>
        <v>51</v>
      </c>
      <c r="K57" s="74">
        <f t="shared" si="3"/>
        <v>12</v>
      </c>
      <c r="L57" s="125">
        <f t="shared" si="26"/>
        <v>6000</v>
      </c>
      <c r="M57" s="74">
        <f t="shared" si="4"/>
        <v>2400</v>
      </c>
      <c r="N57" s="74">
        <f t="shared" si="27"/>
        <v>8400</v>
      </c>
      <c r="O57" s="180">
        <f t="shared" si="28"/>
        <v>700</v>
      </c>
      <c r="Q57" s="58">
        <f t="shared" si="5"/>
        <v>30</v>
      </c>
      <c r="R57" s="52">
        <f t="shared" si="6"/>
        <v>52</v>
      </c>
      <c r="S57" s="52">
        <f t="shared" si="7"/>
        <v>1</v>
      </c>
      <c r="T57" s="54">
        <f t="shared" si="48"/>
        <v>0.1</v>
      </c>
      <c r="U57" s="52">
        <f t="shared" si="8"/>
        <v>2400</v>
      </c>
      <c r="V57" s="52">
        <f t="shared" si="29"/>
        <v>12711.908711697335</v>
      </c>
      <c r="W57" s="52">
        <f t="shared" si="30"/>
        <v>240</v>
      </c>
      <c r="X57" s="87">
        <f t="shared" si="31"/>
        <v>508.47634846789339</v>
      </c>
      <c r="Y57" s="53">
        <f t="shared" si="32"/>
        <v>13460.385060165228</v>
      </c>
      <c r="AA57" s="58">
        <f t="shared" si="9"/>
        <v>30</v>
      </c>
      <c r="AB57" s="52">
        <f t="shared" si="10"/>
        <v>52</v>
      </c>
      <c r="AC57" s="52">
        <f t="shared" si="11"/>
        <v>0</v>
      </c>
      <c r="AD57" s="54">
        <f t="shared" si="49"/>
        <v>0.15</v>
      </c>
      <c r="AE57" s="52">
        <f t="shared" si="12"/>
        <v>8400</v>
      </c>
      <c r="AF57" s="52">
        <f t="shared" si="33"/>
        <v>0</v>
      </c>
      <c r="AG57" s="52">
        <f t="shared" si="34"/>
        <v>0</v>
      </c>
      <c r="AH57" s="52">
        <f t="shared" si="13"/>
        <v>0</v>
      </c>
      <c r="AI57" s="53">
        <f t="shared" si="35"/>
        <v>0</v>
      </c>
      <c r="AK57" s="58">
        <f t="shared" si="36"/>
        <v>30</v>
      </c>
      <c r="AL57" s="52">
        <f t="shared" si="36"/>
        <v>52</v>
      </c>
      <c r="AM57" s="52">
        <f t="shared" si="14"/>
        <v>1</v>
      </c>
      <c r="AN57" s="54">
        <f t="shared" si="15"/>
        <v>0.13500000000000001</v>
      </c>
      <c r="AO57" s="54">
        <f t="shared" si="16"/>
        <v>0.18</v>
      </c>
      <c r="AP57" s="207">
        <f t="shared" si="37"/>
        <v>8400</v>
      </c>
      <c r="AQ57" s="52">
        <f t="shared" si="38"/>
        <v>66737.52073641101</v>
      </c>
      <c r="AR57" s="52">
        <f t="shared" si="39"/>
        <v>1260</v>
      </c>
      <c r="AS57" s="48">
        <f t="shared" si="40"/>
        <v>2669.5008294564404</v>
      </c>
      <c r="AT57" s="53">
        <f t="shared" si="41"/>
        <v>70667.021565867457</v>
      </c>
      <c r="AV57" s="58">
        <f t="shared" si="17"/>
        <v>30</v>
      </c>
      <c r="AW57" s="52">
        <f t="shared" si="17"/>
        <v>52</v>
      </c>
      <c r="AX57" s="48">
        <v>1</v>
      </c>
      <c r="AY57" s="54">
        <f t="shared" si="18"/>
        <v>0.13500000000000001</v>
      </c>
      <c r="AZ57" s="54">
        <f t="shared" si="19"/>
        <v>0.18</v>
      </c>
      <c r="BA57" s="207">
        <f t="shared" si="42"/>
        <v>8400</v>
      </c>
      <c r="BB57" s="52">
        <f t="shared" si="43"/>
        <v>66737.52073641101</v>
      </c>
      <c r="BC57" s="48">
        <f t="shared" si="44"/>
        <v>1260</v>
      </c>
      <c r="BD57" s="48">
        <f t="shared" si="45"/>
        <v>2669.5008294564404</v>
      </c>
      <c r="BE57" s="53">
        <f t="shared" si="46"/>
        <v>70667.021565867457</v>
      </c>
    </row>
    <row r="58" spans="2:57" ht="15.75" thickTop="1" thickBot="1">
      <c r="B58" s="58">
        <f t="shared" si="50"/>
        <v>31</v>
      </c>
      <c r="C58" s="52">
        <f t="shared" si="50"/>
        <v>52</v>
      </c>
      <c r="D58" s="185">
        <f t="shared" si="47"/>
        <v>1</v>
      </c>
      <c r="E58" s="48">
        <f t="shared" si="21"/>
        <v>700</v>
      </c>
      <c r="F58" s="205">
        <f t="shared" si="22"/>
        <v>12</v>
      </c>
      <c r="G58" s="192">
        <f t="shared" si="23"/>
        <v>8400</v>
      </c>
      <c r="I58" s="58">
        <f t="shared" si="24"/>
        <v>31</v>
      </c>
      <c r="J58" s="74">
        <f t="shared" si="25"/>
        <v>52</v>
      </c>
      <c r="K58" s="74">
        <f t="shared" si="3"/>
        <v>12</v>
      </c>
      <c r="L58" s="125">
        <f t="shared" si="26"/>
        <v>6000</v>
      </c>
      <c r="M58" s="74">
        <f t="shared" si="4"/>
        <v>2400</v>
      </c>
      <c r="N58" s="74">
        <f t="shared" si="27"/>
        <v>8400</v>
      </c>
      <c r="O58" s="180">
        <f t="shared" si="28"/>
        <v>700</v>
      </c>
      <c r="Q58" s="58">
        <f t="shared" si="5"/>
        <v>31</v>
      </c>
      <c r="R58" s="52">
        <f t="shared" si="6"/>
        <v>53</v>
      </c>
      <c r="S58" s="52">
        <f t="shared" si="7"/>
        <v>1</v>
      </c>
      <c r="T58" s="54">
        <f t="shared" si="48"/>
        <v>0.1</v>
      </c>
      <c r="U58" s="52">
        <f t="shared" si="8"/>
        <v>2400</v>
      </c>
      <c r="V58" s="52">
        <f t="shared" si="29"/>
        <v>13460.385060165228</v>
      </c>
      <c r="W58" s="52">
        <f t="shared" si="30"/>
        <v>240</v>
      </c>
      <c r="X58" s="87">
        <f t="shared" si="31"/>
        <v>538.41540240660913</v>
      </c>
      <c r="Y58" s="53">
        <f t="shared" si="32"/>
        <v>14238.800462571837</v>
      </c>
      <c r="AA58" s="58">
        <f t="shared" si="9"/>
        <v>31</v>
      </c>
      <c r="AB58" s="52">
        <f t="shared" si="10"/>
        <v>53</v>
      </c>
      <c r="AC58" s="52">
        <f t="shared" si="11"/>
        <v>0</v>
      </c>
      <c r="AD58" s="54">
        <f t="shared" si="49"/>
        <v>0.15</v>
      </c>
      <c r="AE58" s="52">
        <f t="shared" si="12"/>
        <v>8400</v>
      </c>
      <c r="AF58" s="52">
        <f t="shared" si="33"/>
        <v>0</v>
      </c>
      <c r="AG58" s="52">
        <f t="shared" si="34"/>
        <v>0</v>
      </c>
      <c r="AH58" s="52">
        <f t="shared" si="13"/>
        <v>0</v>
      </c>
      <c r="AI58" s="53">
        <f t="shared" si="35"/>
        <v>0</v>
      </c>
      <c r="AK58" s="58">
        <f t="shared" si="36"/>
        <v>31</v>
      </c>
      <c r="AL58" s="52">
        <f t="shared" si="36"/>
        <v>53</v>
      </c>
      <c r="AM58" s="52">
        <f t="shared" si="14"/>
        <v>1</v>
      </c>
      <c r="AN58" s="54">
        <f t="shared" si="15"/>
        <v>0.13500000000000001</v>
      </c>
      <c r="AO58" s="54">
        <f t="shared" si="16"/>
        <v>0.18</v>
      </c>
      <c r="AP58" s="207">
        <f t="shared" si="37"/>
        <v>8400</v>
      </c>
      <c r="AQ58" s="52">
        <f t="shared" si="38"/>
        <v>70667.021565867457</v>
      </c>
      <c r="AR58" s="52">
        <f t="shared" si="39"/>
        <v>1260</v>
      </c>
      <c r="AS58" s="48">
        <f t="shared" si="40"/>
        <v>2826.6808626346983</v>
      </c>
      <c r="AT58" s="53">
        <f t="shared" si="41"/>
        <v>74753.702428502162</v>
      </c>
      <c r="AV58" s="58">
        <f t="shared" si="17"/>
        <v>31</v>
      </c>
      <c r="AW58" s="52">
        <f t="shared" si="17"/>
        <v>53</v>
      </c>
      <c r="AX58" s="48">
        <v>1</v>
      </c>
      <c r="AY58" s="54">
        <f t="shared" si="18"/>
        <v>0.13500000000000001</v>
      </c>
      <c r="AZ58" s="54">
        <f t="shared" si="19"/>
        <v>0.18</v>
      </c>
      <c r="BA58" s="207">
        <f t="shared" si="42"/>
        <v>8400</v>
      </c>
      <c r="BB58" s="52">
        <f t="shared" si="43"/>
        <v>70667.021565867457</v>
      </c>
      <c r="BC58" s="48">
        <f t="shared" si="44"/>
        <v>1260</v>
      </c>
      <c r="BD58" s="48">
        <f t="shared" si="45"/>
        <v>2826.6808626346983</v>
      </c>
      <c r="BE58" s="53">
        <f t="shared" si="46"/>
        <v>74753.702428502162</v>
      </c>
    </row>
    <row r="59" spans="2:57" ht="15.75" thickTop="1" thickBot="1">
      <c r="B59" s="124">
        <f t="shared" si="50"/>
        <v>32</v>
      </c>
      <c r="C59" s="125">
        <f t="shared" si="50"/>
        <v>53</v>
      </c>
      <c r="D59" s="185">
        <f t="shared" si="47"/>
        <v>1</v>
      </c>
      <c r="E59" s="48">
        <f t="shared" si="21"/>
        <v>700</v>
      </c>
      <c r="F59" s="205">
        <f t="shared" si="22"/>
        <v>12</v>
      </c>
      <c r="G59" s="192">
        <f t="shared" si="23"/>
        <v>8400</v>
      </c>
      <c r="I59" s="58">
        <f t="shared" si="24"/>
        <v>32</v>
      </c>
      <c r="J59" s="74">
        <f t="shared" si="25"/>
        <v>53</v>
      </c>
      <c r="K59" s="74">
        <f t="shared" si="3"/>
        <v>12</v>
      </c>
      <c r="L59" s="125">
        <f t="shared" si="26"/>
        <v>6000</v>
      </c>
      <c r="M59" s="74">
        <f t="shared" si="4"/>
        <v>2400</v>
      </c>
      <c r="N59" s="74">
        <f t="shared" si="27"/>
        <v>8400</v>
      </c>
      <c r="O59" s="180">
        <f t="shared" si="28"/>
        <v>700</v>
      </c>
      <c r="Q59" s="58">
        <f t="shared" si="5"/>
        <v>32</v>
      </c>
      <c r="R59" s="52">
        <f t="shared" si="6"/>
        <v>54</v>
      </c>
      <c r="S59" s="52">
        <f t="shared" si="7"/>
        <v>1</v>
      </c>
      <c r="T59" s="54">
        <f t="shared" si="48"/>
        <v>0.1</v>
      </c>
      <c r="U59" s="52">
        <f t="shared" si="8"/>
        <v>2400</v>
      </c>
      <c r="V59" s="52">
        <f t="shared" si="29"/>
        <v>14238.800462571837</v>
      </c>
      <c r="W59" s="52">
        <f t="shared" si="30"/>
        <v>240</v>
      </c>
      <c r="X59" s="87">
        <f t="shared" si="31"/>
        <v>569.55201850287347</v>
      </c>
      <c r="Y59" s="53">
        <f t="shared" si="32"/>
        <v>15048.352481074709</v>
      </c>
      <c r="AA59" s="58">
        <f t="shared" si="9"/>
        <v>32</v>
      </c>
      <c r="AB59" s="52">
        <f t="shared" si="10"/>
        <v>54</v>
      </c>
      <c r="AC59" s="52">
        <f t="shared" si="11"/>
        <v>0</v>
      </c>
      <c r="AD59" s="54">
        <f t="shared" si="49"/>
        <v>0.15</v>
      </c>
      <c r="AE59" s="52">
        <f t="shared" si="12"/>
        <v>8400</v>
      </c>
      <c r="AF59" s="52">
        <f t="shared" si="33"/>
        <v>0</v>
      </c>
      <c r="AG59" s="52">
        <f t="shared" si="34"/>
        <v>0</v>
      </c>
      <c r="AH59" s="52">
        <f t="shared" si="13"/>
        <v>0</v>
      </c>
      <c r="AI59" s="53">
        <f t="shared" si="35"/>
        <v>0</v>
      </c>
      <c r="AK59" s="58">
        <f t="shared" si="36"/>
        <v>32</v>
      </c>
      <c r="AL59" s="52">
        <f t="shared" si="36"/>
        <v>54</v>
      </c>
      <c r="AM59" s="52">
        <f t="shared" si="14"/>
        <v>1</v>
      </c>
      <c r="AN59" s="54">
        <f t="shared" si="15"/>
        <v>0.13500000000000001</v>
      </c>
      <c r="AO59" s="54">
        <f t="shared" si="16"/>
        <v>0.18</v>
      </c>
      <c r="AP59" s="207">
        <f t="shared" si="37"/>
        <v>8400</v>
      </c>
      <c r="AQ59" s="52">
        <f t="shared" si="38"/>
        <v>74753.702428502162</v>
      </c>
      <c r="AR59" s="52">
        <f t="shared" si="39"/>
        <v>1260</v>
      </c>
      <c r="AS59" s="48">
        <f t="shared" si="40"/>
        <v>2990.1480971400865</v>
      </c>
      <c r="AT59" s="53">
        <f t="shared" si="41"/>
        <v>79003.85052564225</v>
      </c>
      <c r="AV59" s="58">
        <f t="shared" si="17"/>
        <v>32</v>
      </c>
      <c r="AW59" s="52">
        <f t="shared" si="17"/>
        <v>54</v>
      </c>
      <c r="AX59" s="48">
        <v>1</v>
      </c>
      <c r="AY59" s="54">
        <f t="shared" si="18"/>
        <v>0.13500000000000001</v>
      </c>
      <c r="AZ59" s="54">
        <f t="shared" si="19"/>
        <v>0.18</v>
      </c>
      <c r="BA59" s="207">
        <f t="shared" si="42"/>
        <v>8400</v>
      </c>
      <c r="BB59" s="52">
        <f t="shared" si="43"/>
        <v>74753.702428502162</v>
      </c>
      <c r="BC59" s="48">
        <f t="shared" si="44"/>
        <v>1260</v>
      </c>
      <c r="BD59" s="48">
        <f t="shared" si="45"/>
        <v>2990.1480971400865</v>
      </c>
      <c r="BE59" s="53">
        <f t="shared" si="46"/>
        <v>79003.85052564225</v>
      </c>
    </row>
    <row r="60" spans="2:57" ht="15.75" thickTop="1" thickBot="1">
      <c r="B60" s="124">
        <f t="shared" si="50"/>
        <v>33</v>
      </c>
      <c r="C60" s="125">
        <f t="shared" si="50"/>
        <v>54</v>
      </c>
      <c r="D60" s="185">
        <f t="shared" si="47"/>
        <v>1</v>
      </c>
      <c r="E60" s="48">
        <f t="shared" si="21"/>
        <v>700</v>
      </c>
      <c r="F60" s="205">
        <f t="shared" si="22"/>
        <v>12</v>
      </c>
      <c r="G60" s="192">
        <f t="shared" si="23"/>
        <v>8400</v>
      </c>
      <c r="I60" s="124">
        <f t="shared" si="24"/>
        <v>33</v>
      </c>
      <c r="J60" s="129">
        <f t="shared" si="25"/>
        <v>54</v>
      </c>
      <c r="K60" s="129">
        <f t="shared" si="3"/>
        <v>12</v>
      </c>
      <c r="L60" s="125">
        <f t="shared" si="26"/>
        <v>6000</v>
      </c>
      <c r="M60" s="74">
        <f t="shared" si="4"/>
        <v>2400</v>
      </c>
      <c r="N60" s="74">
        <f t="shared" si="27"/>
        <v>8400</v>
      </c>
      <c r="O60" s="180">
        <f t="shared" si="28"/>
        <v>700</v>
      </c>
      <c r="Q60" s="124">
        <f t="shared" si="5"/>
        <v>33</v>
      </c>
      <c r="R60" s="125">
        <f t="shared" si="6"/>
        <v>55</v>
      </c>
      <c r="S60" s="52">
        <f t="shared" si="7"/>
        <v>1</v>
      </c>
      <c r="T60" s="126">
        <f t="shared" si="48"/>
        <v>0.1</v>
      </c>
      <c r="U60" s="52">
        <f t="shared" si="8"/>
        <v>2400</v>
      </c>
      <c r="V60" s="125">
        <f t="shared" si="29"/>
        <v>15048.352481074709</v>
      </c>
      <c r="W60" s="52">
        <f t="shared" si="30"/>
        <v>240</v>
      </c>
      <c r="X60" s="87">
        <f t="shared" si="31"/>
        <v>601.9340992429884</v>
      </c>
      <c r="Y60" s="128">
        <f t="shared" si="32"/>
        <v>15890.286580317697</v>
      </c>
      <c r="AA60" s="124">
        <f t="shared" si="9"/>
        <v>33</v>
      </c>
      <c r="AB60" s="125">
        <f t="shared" si="10"/>
        <v>55</v>
      </c>
      <c r="AC60" s="125">
        <f t="shared" si="11"/>
        <v>0</v>
      </c>
      <c r="AD60" s="126">
        <f t="shared" si="49"/>
        <v>0.15</v>
      </c>
      <c r="AE60" s="125">
        <f t="shared" si="12"/>
        <v>8400</v>
      </c>
      <c r="AF60" s="125">
        <f t="shared" si="33"/>
        <v>0</v>
      </c>
      <c r="AG60" s="125">
        <f t="shared" si="34"/>
        <v>0</v>
      </c>
      <c r="AH60" s="125">
        <f t="shared" si="13"/>
        <v>0</v>
      </c>
      <c r="AI60" s="128">
        <f t="shared" si="35"/>
        <v>0</v>
      </c>
      <c r="AK60" s="124">
        <f t="shared" si="36"/>
        <v>33</v>
      </c>
      <c r="AL60" s="125">
        <f t="shared" si="36"/>
        <v>55</v>
      </c>
      <c r="AM60" s="125">
        <f t="shared" si="14"/>
        <v>1</v>
      </c>
      <c r="AN60" s="126">
        <f t="shared" si="15"/>
        <v>0.13500000000000001</v>
      </c>
      <c r="AO60" s="126">
        <f t="shared" si="16"/>
        <v>0.18</v>
      </c>
      <c r="AP60" s="207">
        <f t="shared" si="37"/>
        <v>8400</v>
      </c>
      <c r="AQ60" s="125">
        <f t="shared" si="38"/>
        <v>79003.85052564225</v>
      </c>
      <c r="AR60" s="52">
        <f t="shared" si="39"/>
        <v>1260</v>
      </c>
      <c r="AS60" s="48">
        <f t="shared" si="40"/>
        <v>3160.1540210256899</v>
      </c>
      <c r="AT60" s="128">
        <f t="shared" si="41"/>
        <v>83424.004546667944</v>
      </c>
      <c r="AV60" s="124">
        <f t="shared" ref="AV60:AW76" si="51">+AK60</f>
        <v>33</v>
      </c>
      <c r="AW60" s="125">
        <f t="shared" si="51"/>
        <v>55</v>
      </c>
      <c r="AX60" s="48">
        <v>1</v>
      </c>
      <c r="AY60" s="126">
        <f t="shared" si="18"/>
        <v>0.13500000000000001</v>
      </c>
      <c r="AZ60" s="126">
        <f t="shared" si="19"/>
        <v>0.18</v>
      </c>
      <c r="BA60" s="207">
        <f t="shared" si="42"/>
        <v>8400</v>
      </c>
      <c r="BB60" s="125">
        <f t="shared" si="43"/>
        <v>79003.85052564225</v>
      </c>
      <c r="BC60" s="48">
        <f t="shared" si="44"/>
        <v>1260</v>
      </c>
      <c r="BD60" s="48">
        <f t="shared" si="45"/>
        <v>3160.1540210256899</v>
      </c>
      <c r="BE60" s="128">
        <f t="shared" si="46"/>
        <v>83424.004546667944</v>
      </c>
    </row>
    <row r="61" spans="2:57" ht="15.75" thickTop="1" thickBot="1">
      <c r="B61" s="58">
        <f t="shared" ref="B61:C76" si="52">+B60+1</f>
        <v>34</v>
      </c>
      <c r="C61" s="52">
        <f t="shared" si="52"/>
        <v>55</v>
      </c>
      <c r="D61" s="185">
        <f t="shared" si="47"/>
        <v>1</v>
      </c>
      <c r="E61" s="48">
        <f t="shared" si="21"/>
        <v>700</v>
      </c>
      <c r="F61" s="205">
        <f t="shared" si="22"/>
        <v>12</v>
      </c>
      <c r="G61" s="192">
        <f t="shared" si="23"/>
        <v>8400</v>
      </c>
      <c r="I61" s="58">
        <f t="shared" si="24"/>
        <v>34</v>
      </c>
      <c r="J61" s="74">
        <f t="shared" si="25"/>
        <v>55</v>
      </c>
      <c r="K61" s="74">
        <f t="shared" si="3"/>
        <v>12</v>
      </c>
      <c r="L61" s="125">
        <f t="shared" si="26"/>
        <v>6000</v>
      </c>
      <c r="M61" s="74">
        <f t="shared" si="4"/>
        <v>2400</v>
      </c>
      <c r="N61" s="74">
        <f t="shared" si="27"/>
        <v>8400</v>
      </c>
      <c r="O61" s="180">
        <f t="shared" si="28"/>
        <v>700</v>
      </c>
      <c r="Q61" s="58">
        <f t="shared" si="5"/>
        <v>34</v>
      </c>
      <c r="R61" s="52">
        <f t="shared" si="6"/>
        <v>56</v>
      </c>
      <c r="S61" s="52">
        <f t="shared" si="7"/>
        <v>1</v>
      </c>
      <c r="T61" s="54">
        <f t="shared" si="48"/>
        <v>0.1</v>
      </c>
      <c r="U61" s="52">
        <f t="shared" si="8"/>
        <v>2400</v>
      </c>
      <c r="V61" s="52">
        <f t="shared" si="29"/>
        <v>15890.286580317697</v>
      </c>
      <c r="W61" s="52">
        <f t="shared" si="30"/>
        <v>240</v>
      </c>
      <c r="X61" s="87">
        <f t="shared" si="31"/>
        <v>635.61146321270792</v>
      </c>
      <c r="Y61" s="53">
        <f t="shared" si="32"/>
        <v>16765.898043530404</v>
      </c>
      <c r="AA61" s="58">
        <f t="shared" si="9"/>
        <v>34</v>
      </c>
      <c r="AB61" s="52">
        <f t="shared" si="10"/>
        <v>56</v>
      </c>
      <c r="AC61" s="52">
        <f t="shared" si="11"/>
        <v>0</v>
      </c>
      <c r="AD61" s="54">
        <f t="shared" si="49"/>
        <v>0.15</v>
      </c>
      <c r="AE61" s="52">
        <f t="shared" si="12"/>
        <v>8400</v>
      </c>
      <c r="AF61" s="52">
        <f t="shared" si="33"/>
        <v>0</v>
      </c>
      <c r="AG61" s="52">
        <f t="shared" si="34"/>
        <v>0</v>
      </c>
      <c r="AH61" s="52">
        <f t="shared" si="13"/>
        <v>0</v>
      </c>
      <c r="AI61" s="53">
        <f t="shared" si="35"/>
        <v>0</v>
      </c>
      <c r="AK61" s="58">
        <f t="shared" si="36"/>
        <v>34</v>
      </c>
      <c r="AL61" s="52">
        <f t="shared" si="36"/>
        <v>56</v>
      </c>
      <c r="AM61" s="52">
        <f t="shared" si="14"/>
        <v>1</v>
      </c>
      <c r="AN61" s="54">
        <f t="shared" si="15"/>
        <v>0.13500000000000001</v>
      </c>
      <c r="AO61" s="54">
        <f t="shared" si="16"/>
        <v>0.18</v>
      </c>
      <c r="AP61" s="207">
        <f t="shared" si="37"/>
        <v>8400</v>
      </c>
      <c r="AQ61" s="52">
        <f t="shared" si="38"/>
        <v>83424.004546667944</v>
      </c>
      <c r="AR61" s="52">
        <f t="shared" si="39"/>
        <v>1260</v>
      </c>
      <c r="AS61" s="48">
        <f t="shared" si="40"/>
        <v>3336.9601818667179</v>
      </c>
      <c r="AT61" s="53">
        <f t="shared" si="41"/>
        <v>88020.964728534658</v>
      </c>
      <c r="AV61" s="58">
        <f t="shared" si="51"/>
        <v>34</v>
      </c>
      <c r="AW61" s="52">
        <f t="shared" si="51"/>
        <v>56</v>
      </c>
      <c r="AX61" s="48">
        <v>1</v>
      </c>
      <c r="AY61" s="54">
        <f t="shared" si="18"/>
        <v>0.13500000000000001</v>
      </c>
      <c r="AZ61" s="54">
        <f t="shared" si="19"/>
        <v>0.18</v>
      </c>
      <c r="BA61" s="207">
        <f t="shared" si="42"/>
        <v>8400</v>
      </c>
      <c r="BB61" s="52">
        <f t="shared" si="43"/>
        <v>83424.004546667944</v>
      </c>
      <c r="BC61" s="48">
        <f t="shared" si="44"/>
        <v>1260</v>
      </c>
      <c r="BD61" s="48">
        <f t="shared" si="45"/>
        <v>3336.9601818667179</v>
      </c>
      <c r="BE61" s="53">
        <f t="shared" si="46"/>
        <v>88020.964728534658</v>
      </c>
    </row>
    <row r="62" spans="2:57" ht="15.75" thickTop="1" thickBot="1">
      <c r="B62" s="58">
        <f t="shared" si="52"/>
        <v>35</v>
      </c>
      <c r="C62" s="52">
        <f t="shared" si="52"/>
        <v>56</v>
      </c>
      <c r="D62" s="185">
        <f t="shared" si="47"/>
        <v>1</v>
      </c>
      <c r="E62" s="48">
        <f t="shared" si="21"/>
        <v>700</v>
      </c>
      <c r="F62" s="205">
        <f t="shared" si="22"/>
        <v>12</v>
      </c>
      <c r="G62" s="192">
        <f t="shared" si="23"/>
        <v>8400</v>
      </c>
      <c r="I62" s="58">
        <f t="shared" si="24"/>
        <v>35</v>
      </c>
      <c r="J62" s="74">
        <f t="shared" si="25"/>
        <v>56</v>
      </c>
      <c r="K62" s="74">
        <f t="shared" si="3"/>
        <v>12</v>
      </c>
      <c r="L62" s="52">
        <f t="shared" si="26"/>
        <v>6000</v>
      </c>
      <c r="M62" s="74">
        <f t="shared" si="4"/>
        <v>2400</v>
      </c>
      <c r="N62" s="74">
        <f t="shared" si="27"/>
        <v>8400</v>
      </c>
      <c r="O62" s="180">
        <f t="shared" si="28"/>
        <v>700</v>
      </c>
      <c r="Q62" s="58">
        <f t="shared" si="5"/>
        <v>35</v>
      </c>
      <c r="R62" s="52">
        <f t="shared" si="6"/>
        <v>57</v>
      </c>
      <c r="S62" s="52">
        <f t="shared" si="7"/>
        <v>1</v>
      </c>
      <c r="T62" s="54">
        <f t="shared" si="48"/>
        <v>0.1</v>
      </c>
      <c r="U62" s="52">
        <f t="shared" si="8"/>
        <v>2400</v>
      </c>
      <c r="V62" s="52">
        <f t="shared" si="29"/>
        <v>16765.898043530404</v>
      </c>
      <c r="W62" s="52">
        <f t="shared" si="30"/>
        <v>240</v>
      </c>
      <c r="X62" s="87">
        <f t="shared" si="31"/>
        <v>670.63592174121618</v>
      </c>
      <c r="Y62" s="53">
        <f t="shared" si="32"/>
        <v>17676.533965271621</v>
      </c>
      <c r="AA62" s="58">
        <f t="shared" si="9"/>
        <v>35</v>
      </c>
      <c r="AB62" s="52">
        <f t="shared" si="10"/>
        <v>57</v>
      </c>
      <c r="AC62" s="52">
        <f t="shared" si="11"/>
        <v>0</v>
      </c>
      <c r="AD62" s="54">
        <f t="shared" si="49"/>
        <v>0.15</v>
      </c>
      <c r="AE62" s="52">
        <f t="shared" si="12"/>
        <v>8400</v>
      </c>
      <c r="AF62" s="52">
        <f t="shared" si="33"/>
        <v>0</v>
      </c>
      <c r="AG62" s="52">
        <f t="shared" si="34"/>
        <v>0</v>
      </c>
      <c r="AH62" s="52">
        <f t="shared" si="13"/>
        <v>0</v>
      </c>
      <c r="AI62" s="53">
        <f t="shared" si="35"/>
        <v>0</v>
      </c>
      <c r="AK62" s="58">
        <f t="shared" si="36"/>
        <v>35</v>
      </c>
      <c r="AL62" s="52">
        <f t="shared" si="36"/>
        <v>57</v>
      </c>
      <c r="AM62" s="52">
        <f t="shared" si="14"/>
        <v>1</v>
      </c>
      <c r="AN62" s="54">
        <f t="shared" si="15"/>
        <v>0.13500000000000001</v>
      </c>
      <c r="AO62" s="54">
        <f t="shared" si="16"/>
        <v>0.18</v>
      </c>
      <c r="AP62" s="207">
        <f t="shared" si="37"/>
        <v>8400</v>
      </c>
      <c r="AQ62" s="52">
        <f t="shared" si="38"/>
        <v>88020.964728534658</v>
      </c>
      <c r="AR62" s="52">
        <f t="shared" si="39"/>
        <v>1260</v>
      </c>
      <c r="AS62" s="48">
        <f t="shared" si="40"/>
        <v>3520.8385891413864</v>
      </c>
      <c r="AT62" s="53">
        <f t="shared" si="41"/>
        <v>92801.803317676051</v>
      </c>
      <c r="AV62" s="58">
        <f t="shared" si="51"/>
        <v>35</v>
      </c>
      <c r="AW62" s="52">
        <f t="shared" si="51"/>
        <v>57</v>
      </c>
      <c r="AX62" s="48">
        <v>1</v>
      </c>
      <c r="AY62" s="54">
        <f t="shared" si="18"/>
        <v>0.13500000000000001</v>
      </c>
      <c r="AZ62" s="54">
        <f t="shared" si="19"/>
        <v>0.18</v>
      </c>
      <c r="BA62" s="207">
        <f t="shared" si="42"/>
        <v>8400</v>
      </c>
      <c r="BB62" s="52">
        <f t="shared" si="43"/>
        <v>88020.964728534658</v>
      </c>
      <c r="BC62" s="48">
        <f t="shared" si="44"/>
        <v>1260</v>
      </c>
      <c r="BD62" s="48">
        <f t="shared" si="45"/>
        <v>3520.8385891413864</v>
      </c>
      <c r="BE62" s="53">
        <f t="shared" si="46"/>
        <v>92801.803317676051</v>
      </c>
    </row>
    <row r="63" spans="2:57" ht="15.75" thickTop="1" thickBot="1">
      <c r="B63" s="58">
        <f t="shared" si="52"/>
        <v>36</v>
      </c>
      <c r="C63" s="52">
        <f t="shared" si="52"/>
        <v>57</v>
      </c>
      <c r="D63" s="185">
        <f t="shared" si="47"/>
        <v>1</v>
      </c>
      <c r="E63" s="48">
        <f t="shared" si="21"/>
        <v>700</v>
      </c>
      <c r="F63" s="205">
        <f t="shared" si="22"/>
        <v>12</v>
      </c>
      <c r="G63" s="192">
        <f t="shared" si="23"/>
        <v>8400</v>
      </c>
      <c r="I63" s="58">
        <f t="shared" si="24"/>
        <v>36</v>
      </c>
      <c r="J63" s="74">
        <f t="shared" si="25"/>
        <v>57</v>
      </c>
      <c r="K63" s="74">
        <f t="shared" si="3"/>
        <v>12</v>
      </c>
      <c r="L63" s="52">
        <f t="shared" si="26"/>
        <v>6000</v>
      </c>
      <c r="M63" s="74">
        <f t="shared" si="4"/>
        <v>2400</v>
      </c>
      <c r="N63" s="74">
        <f t="shared" si="27"/>
        <v>8400</v>
      </c>
      <c r="O63" s="180">
        <f t="shared" si="28"/>
        <v>700</v>
      </c>
      <c r="Q63" s="58">
        <f t="shared" si="5"/>
        <v>36</v>
      </c>
      <c r="R63" s="52">
        <f t="shared" si="6"/>
        <v>58</v>
      </c>
      <c r="S63" s="52">
        <f t="shared" si="7"/>
        <v>1</v>
      </c>
      <c r="T63" s="54">
        <f t="shared" si="48"/>
        <v>0.1</v>
      </c>
      <c r="U63" s="52">
        <f t="shared" si="8"/>
        <v>2400</v>
      </c>
      <c r="V63" s="52">
        <f t="shared" si="29"/>
        <v>17676.533965271621</v>
      </c>
      <c r="W63" s="52">
        <f t="shared" si="30"/>
        <v>240</v>
      </c>
      <c r="X63" s="87">
        <f t="shared" si="31"/>
        <v>707.06135861086489</v>
      </c>
      <c r="Y63" s="53">
        <f t="shared" si="32"/>
        <v>18623.595323882488</v>
      </c>
      <c r="AA63" s="58">
        <f t="shared" si="9"/>
        <v>36</v>
      </c>
      <c r="AB63" s="52">
        <f t="shared" si="10"/>
        <v>58</v>
      </c>
      <c r="AC63" s="52">
        <f t="shared" si="11"/>
        <v>0</v>
      </c>
      <c r="AD63" s="54">
        <f t="shared" si="49"/>
        <v>0.15</v>
      </c>
      <c r="AE63" s="52">
        <f t="shared" si="12"/>
        <v>8400</v>
      </c>
      <c r="AF63" s="52">
        <f t="shared" si="33"/>
        <v>0</v>
      </c>
      <c r="AG63" s="52">
        <f t="shared" si="34"/>
        <v>0</v>
      </c>
      <c r="AH63" s="52">
        <f t="shared" si="13"/>
        <v>0</v>
      </c>
      <c r="AI63" s="53">
        <f t="shared" si="35"/>
        <v>0</v>
      </c>
      <c r="AK63" s="58">
        <f t="shared" si="36"/>
        <v>36</v>
      </c>
      <c r="AL63" s="52">
        <f t="shared" si="36"/>
        <v>58</v>
      </c>
      <c r="AM63" s="52">
        <f t="shared" si="14"/>
        <v>1</v>
      </c>
      <c r="AN63" s="54">
        <f t="shared" si="15"/>
        <v>0.13500000000000001</v>
      </c>
      <c r="AO63" s="54">
        <f t="shared" si="16"/>
        <v>0.18</v>
      </c>
      <c r="AP63" s="207">
        <f t="shared" si="37"/>
        <v>8400</v>
      </c>
      <c r="AQ63" s="52">
        <f t="shared" si="38"/>
        <v>92801.803317676051</v>
      </c>
      <c r="AR63" s="52">
        <f t="shared" si="39"/>
        <v>1260</v>
      </c>
      <c r="AS63" s="48">
        <f t="shared" si="40"/>
        <v>3712.0721327070423</v>
      </c>
      <c r="AT63" s="53">
        <f t="shared" si="41"/>
        <v>97773.875450383086</v>
      </c>
      <c r="AV63" s="58">
        <f t="shared" si="51"/>
        <v>36</v>
      </c>
      <c r="AW63" s="52">
        <f t="shared" si="51"/>
        <v>58</v>
      </c>
      <c r="AX63" s="48">
        <v>1</v>
      </c>
      <c r="AY63" s="54">
        <f t="shared" si="18"/>
        <v>0.13500000000000001</v>
      </c>
      <c r="AZ63" s="54">
        <f t="shared" si="19"/>
        <v>0.18</v>
      </c>
      <c r="BA63" s="207">
        <f t="shared" si="42"/>
        <v>8400</v>
      </c>
      <c r="BB63" s="52">
        <f t="shared" si="43"/>
        <v>92801.803317676051</v>
      </c>
      <c r="BC63" s="48">
        <f t="shared" si="44"/>
        <v>1260</v>
      </c>
      <c r="BD63" s="48">
        <f t="shared" si="45"/>
        <v>3712.0721327070423</v>
      </c>
      <c r="BE63" s="53">
        <f t="shared" si="46"/>
        <v>97773.875450383086</v>
      </c>
    </row>
    <row r="64" spans="2:57" customFormat="1" ht="15.75" thickTop="1" thickBot="1">
      <c r="B64" s="124">
        <f t="shared" si="52"/>
        <v>37</v>
      </c>
      <c r="C64" s="125">
        <f t="shared" si="52"/>
        <v>58</v>
      </c>
      <c r="D64" s="186">
        <f t="shared" si="47"/>
        <v>1</v>
      </c>
      <c r="E64" s="127">
        <f t="shared" si="21"/>
        <v>700</v>
      </c>
      <c r="F64" s="229">
        <f t="shared" si="22"/>
        <v>12</v>
      </c>
      <c r="G64" s="192">
        <f t="shared" si="23"/>
        <v>8400</v>
      </c>
      <c r="I64" s="124">
        <f t="shared" si="24"/>
        <v>37</v>
      </c>
      <c r="J64" s="129">
        <f t="shared" si="25"/>
        <v>58</v>
      </c>
      <c r="K64" s="129">
        <f t="shared" si="3"/>
        <v>12</v>
      </c>
      <c r="L64" s="125">
        <f t="shared" si="26"/>
        <v>6000</v>
      </c>
      <c r="M64" s="129">
        <f t="shared" si="4"/>
        <v>2400</v>
      </c>
      <c r="N64" s="129">
        <f t="shared" si="27"/>
        <v>8400</v>
      </c>
      <c r="O64" s="180">
        <f t="shared" si="28"/>
        <v>700</v>
      </c>
      <c r="Q64" s="124">
        <f t="shared" si="5"/>
        <v>37</v>
      </c>
      <c r="R64" s="125">
        <f t="shared" si="6"/>
        <v>59</v>
      </c>
      <c r="S64" s="125">
        <f t="shared" si="7"/>
        <v>1</v>
      </c>
      <c r="T64" s="126">
        <f t="shared" si="48"/>
        <v>0.1</v>
      </c>
      <c r="U64" s="125">
        <f t="shared" si="8"/>
        <v>2400</v>
      </c>
      <c r="V64" s="125">
        <f t="shared" si="29"/>
        <v>18623.595323882488</v>
      </c>
      <c r="W64" s="125">
        <f t="shared" si="30"/>
        <v>240</v>
      </c>
      <c r="X64" s="234">
        <f t="shared" si="31"/>
        <v>744.94381295529956</v>
      </c>
      <c r="Y64" s="128">
        <f t="shared" si="32"/>
        <v>19608.539136837786</v>
      </c>
      <c r="AA64" s="124">
        <f t="shared" si="9"/>
        <v>37</v>
      </c>
      <c r="AB64" s="125">
        <f t="shared" si="10"/>
        <v>59</v>
      </c>
      <c r="AC64" s="125">
        <f t="shared" si="11"/>
        <v>0</v>
      </c>
      <c r="AD64" s="126">
        <f t="shared" si="49"/>
        <v>0.15</v>
      </c>
      <c r="AE64" s="125">
        <f t="shared" si="12"/>
        <v>8400</v>
      </c>
      <c r="AF64" s="125">
        <f t="shared" si="33"/>
        <v>0</v>
      </c>
      <c r="AG64" s="125">
        <f t="shared" si="34"/>
        <v>0</v>
      </c>
      <c r="AH64" s="125">
        <f t="shared" si="13"/>
        <v>0</v>
      </c>
      <c r="AI64" s="128">
        <f t="shared" si="35"/>
        <v>0</v>
      </c>
      <c r="AK64" s="124">
        <f t="shared" si="36"/>
        <v>37</v>
      </c>
      <c r="AL64" s="125">
        <f t="shared" si="36"/>
        <v>59</v>
      </c>
      <c r="AM64" s="125">
        <f t="shared" si="14"/>
        <v>1</v>
      </c>
      <c r="AN64" s="126">
        <f t="shared" si="15"/>
        <v>0.13500000000000001</v>
      </c>
      <c r="AO64" s="126">
        <f t="shared" si="16"/>
        <v>0.18</v>
      </c>
      <c r="AP64" s="230">
        <f t="shared" si="37"/>
        <v>8400</v>
      </c>
      <c r="AQ64" s="125">
        <f t="shared" si="38"/>
        <v>97773.875450383086</v>
      </c>
      <c r="AR64" s="125">
        <f t="shared" si="39"/>
        <v>1260</v>
      </c>
      <c r="AS64" s="127">
        <f t="shared" si="40"/>
        <v>3910.9550180153237</v>
      </c>
      <c r="AT64" s="128">
        <f t="shared" si="41"/>
        <v>102944.8304683984</v>
      </c>
      <c r="AV64" s="124">
        <f t="shared" si="51"/>
        <v>37</v>
      </c>
      <c r="AW64" s="125">
        <f t="shared" si="51"/>
        <v>59</v>
      </c>
      <c r="AX64" s="127">
        <v>1</v>
      </c>
      <c r="AY64" s="126">
        <f t="shared" si="18"/>
        <v>0.13500000000000001</v>
      </c>
      <c r="AZ64" s="126">
        <f t="shared" si="19"/>
        <v>0.18</v>
      </c>
      <c r="BA64" s="230">
        <f t="shared" si="42"/>
        <v>8400</v>
      </c>
      <c r="BB64" s="125">
        <f t="shared" si="43"/>
        <v>97773.875450383086</v>
      </c>
      <c r="BC64" s="127">
        <f t="shared" si="44"/>
        <v>1260</v>
      </c>
      <c r="BD64" s="127">
        <f t="shared" si="45"/>
        <v>3910.9550180153237</v>
      </c>
      <c r="BE64" s="128">
        <f t="shared" si="46"/>
        <v>102944.8304683984</v>
      </c>
    </row>
    <row r="65" spans="2:59" ht="15.75" thickTop="1" thickBot="1">
      <c r="B65" s="124">
        <f t="shared" si="52"/>
        <v>38</v>
      </c>
      <c r="C65" s="125">
        <f t="shared" si="52"/>
        <v>59</v>
      </c>
      <c r="D65" s="186">
        <f t="shared" si="47"/>
        <v>1</v>
      </c>
      <c r="E65" s="48">
        <f t="shared" si="21"/>
        <v>700</v>
      </c>
      <c r="F65" s="205">
        <f t="shared" si="22"/>
        <v>12</v>
      </c>
      <c r="G65" s="192">
        <f t="shared" si="23"/>
        <v>8400</v>
      </c>
      <c r="H65"/>
      <c r="I65" s="124">
        <f t="shared" si="24"/>
        <v>38</v>
      </c>
      <c r="J65" s="129">
        <f t="shared" si="25"/>
        <v>59</v>
      </c>
      <c r="K65" s="129">
        <f t="shared" si="3"/>
        <v>12</v>
      </c>
      <c r="L65" s="125">
        <f t="shared" si="26"/>
        <v>6000</v>
      </c>
      <c r="M65" s="129">
        <f t="shared" si="4"/>
        <v>2400</v>
      </c>
      <c r="N65" s="129">
        <f t="shared" si="27"/>
        <v>8400</v>
      </c>
      <c r="O65" s="180">
        <f t="shared" si="28"/>
        <v>700</v>
      </c>
      <c r="P65"/>
      <c r="Q65" s="124">
        <f t="shared" si="5"/>
        <v>38</v>
      </c>
      <c r="R65" s="125">
        <f t="shared" si="6"/>
        <v>60</v>
      </c>
      <c r="S65" s="125">
        <f t="shared" si="7"/>
        <v>1</v>
      </c>
      <c r="T65" s="126">
        <f t="shared" si="48"/>
        <v>0.1</v>
      </c>
      <c r="U65" s="125">
        <f t="shared" si="8"/>
        <v>2400</v>
      </c>
      <c r="V65" s="125">
        <f t="shared" si="29"/>
        <v>19608.539136837786</v>
      </c>
      <c r="W65" s="125">
        <f t="shared" si="30"/>
        <v>240</v>
      </c>
      <c r="X65" s="87">
        <f t="shared" si="31"/>
        <v>784.34156547351142</v>
      </c>
      <c r="Y65" s="128">
        <f t="shared" si="32"/>
        <v>20632.880702311297</v>
      </c>
      <c r="Z65"/>
      <c r="AA65" s="124">
        <f t="shared" si="9"/>
        <v>38</v>
      </c>
      <c r="AB65" s="125">
        <f t="shared" si="10"/>
        <v>60</v>
      </c>
      <c r="AC65" s="125">
        <f t="shared" si="11"/>
        <v>0</v>
      </c>
      <c r="AD65" s="126">
        <f t="shared" si="49"/>
        <v>0.15</v>
      </c>
      <c r="AE65" s="125">
        <f t="shared" si="12"/>
        <v>8400</v>
      </c>
      <c r="AF65" s="125">
        <f t="shared" si="33"/>
        <v>0</v>
      </c>
      <c r="AG65" s="125">
        <f t="shared" si="34"/>
        <v>0</v>
      </c>
      <c r="AH65" s="125">
        <f t="shared" si="13"/>
        <v>0</v>
      </c>
      <c r="AI65" s="128">
        <f t="shared" si="35"/>
        <v>0</v>
      </c>
      <c r="AK65" s="124">
        <f t="shared" si="36"/>
        <v>38</v>
      </c>
      <c r="AL65" s="125">
        <f t="shared" si="36"/>
        <v>60</v>
      </c>
      <c r="AM65" s="125">
        <f t="shared" si="14"/>
        <v>1</v>
      </c>
      <c r="AN65" s="126">
        <f t="shared" si="15"/>
        <v>0.13500000000000001</v>
      </c>
      <c r="AO65" s="126">
        <f t="shared" si="16"/>
        <v>0.18</v>
      </c>
      <c r="AP65" s="230">
        <f t="shared" si="37"/>
        <v>8400</v>
      </c>
      <c r="AQ65" s="125">
        <f t="shared" si="38"/>
        <v>102944.8304683984</v>
      </c>
      <c r="AR65" s="125">
        <f t="shared" si="39"/>
        <v>1260</v>
      </c>
      <c r="AS65" s="127">
        <f t="shared" si="40"/>
        <v>4117.7932187359365</v>
      </c>
      <c r="AT65" s="128">
        <f t="shared" si="41"/>
        <v>108322.62368713434</v>
      </c>
      <c r="AU65"/>
      <c r="AV65" s="124">
        <f t="shared" si="51"/>
        <v>38</v>
      </c>
      <c r="AW65" s="125">
        <f t="shared" si="51"/>
        <v>60</v>
      </c>
      <c r="AX65" s="127">
        <v>1</v>
      </c>
      <c r="AY65" s="126">
        <f t="shared" si="18"/>
        <v>0.13500000000000001</v>
      </c>
      <c r="AZ65" s="126">
        <f t="shared" si="19"/>
        <v>0.18</v>
      </c>
      <c r="BA65" s="230">
        <f t="shared" si="42"/>
        <v>8400</v>
      </c>
      <c r="BB65" s="125">
        <f t="shared" si="43"/>
        <v>102944.8304683984</v>
      </c>
      <c r="BC65" s="127">
        <f t="shared" si="44"/>
        <v>1260</v>
      </c>
      <c r="BD65" s="127">
        <f t="shared" si="45"/>
        <v>4117.7932187359365</v>
      </c>
      <c r="BE65" s="128">
        <f t="shared" si="46"/>
        <v>108322.62368713434</v>
      </c>
      <c r="BG65"/>
    </row>
    <row r="66" spans="2:59" ht="15.75" thickTop="1" thickBot="1">
      <c r="B66" s="124">
        <f t="shared" si="52"/>
        <v>39</v>
      </c>
      <c r="C66" s="125">
        <f t="shared" si="52"/>
        <v>60</v>
      </c>
      <c r="D66" s="185">
        <f t="shared" si="47"/>
        <v>1</v>
      </c>
      <c r="E66" s="48">
        <f t="shared" si="21"/>
        <v>700</v>
      </c>
      <c r="F66" s="205">
        <f t="shared" si="22"/>
        <v>12</v>
      </c>
      <c r="G66" s="192">
        <f t="shared" si="23"/>
        <v>8400</v>
      </c>
      <c r="I66" s="124">
        <f t="shared" si="24"/>
        <v>39</v>
      </c>
      <c r="J66" s="129">
        <f t="shared" si="25"/>
        <v>60</v>
      </c>
      <c r="K66" s="129">
        <f t="shared" si="3"/>
        <v>12</v>
      </c>
      <c r="L66" s="125">
        <f t="shared" si="26"/>
        <v>6000</v>
      </c>
      <c r="M66" s="129">
        <f t="shared" si="4"/>
        <v>2400</v>
      </c>
      <c r="N66" s="129">
        <f t="shared" si="27"/>
        <v>8400</v>
      </c>
      <c r="O66" s="180">
        <f t="shared" si="28"/>
        <v>700</v>
      </c>
      <c r="Q66" s="124">
        <f t="shared" si="5"/>
        <v>39</v>
      </c>
      <c r="R66" s="125">
        <f t="shared" si="6"/>
        <v>61</v>
      </c>
      <c r="S66" s="125">
        <f t="shared" si="7"/>
        <v>1</v>
      </c>
      <c r="T66" s="126">
        <f t="shared" si="48"/>
        <v>0.1</v>
      </c>
      <c r="U66" s="125">
        <f t="shared" si="8"/>
        <v>2400</v>
      </c>
      <c r="V66" s="125">
        <f t="shared" si="29"/>
        <v>20632.880702311297</v>
      </c>
      <c r="W66" s="125">
        <f t="shared" si="30"/>
        <v>240</v>
      </c>
      <c r="X66" s="87">
        <f t="shared" si="31"/>
        <v>825.31522809245189</v>
      </c>
      <c r="Y66" s="128">
        <f t="shared" si="32"/>
        <v>21698.195930403748</v>
      </c>
      <c r="AA66" s="124">
        <f t="shared" si="9"/>
        <v>39</v>
      </c>
      <c r="AB66" s="125">
        <f t="shared" si="10"/>
        <v>61</v>
      </c>
      <c r="AC66" s="125">
        <f t="shared" si="11"/>
        <v>0</v>
      </c>
      <c r="AD66" s="126">
        <f t="shared" si="49"/>
        <v>0.15</v>
      </c>
      <c r="AE66" s="125">
        <f t="shared" si="12"/>
        <v>8400</v>
      </c>
      <c r="AF66" s="125">
        <f t="shared" si="33"/>
        <v>0</v>
      </c>
      <c r="AG66" s="125">
        <f t="shared" si="34"/>
        <v>0</v>
      </c>
      <c r="AH66" s="125">
        <f t="shared" si="13"/>
        <v>0</v>
      </c>
      <c r="AI66" s="128">
        <f t="shared" si="35"/>
        <v>0</v>
      </c>
      <c r="AK66" s="124">
        <f t="shared" si="36"/>
        <v>39</v>
      </c>
      <c r="AL66" s="125">
        <f t="shared" si="36"/>
        <v>61</v>
      </c>
      <c r="AM66" s="125">
        <v>1</v>
      </c>
      <c r="AN66" s="126">
        <f t="shared" si="15"/>
        <v>0.13500000000000001</v>
      </c>
      <c r="AO66" s="126">
        <f t="shared" si="16"/>
        <v>0.18</v>
      </c>
      <c r="AP66" s="207">
        <f t="shared" si="37"/>
        <v>8400</v>
      </c>
      <c r="AQ66" s="125">
        <f t="shared" si="38"/>
        <v>108322.62368713434</v>
      </c>
      <c r="AR66" s="52">
        <f t="shared" si="39"/>
        <v>1260</v>
      </c>
      <c r="AS66" s="48">
        <f t="shared" si="40"/>
        <v>4332.9049474853737</v>
      </c>
      <c r="AT66" s="128">
        <f t="shared" si="41"/>
        <v>113915.52863461971</v>
      </c>
      <c r="AV66" s="124">
        <f t="shared" si="51"/>
        <v>39</v>
      </c>
      <c r="AW66" s="125">
        <f t="shared" si="51"/>
        <v>61</v>
      </c>
      <c r="AX66" s="127">
        <v>1</v>
      </c>
      <c r="AY66" s="126">
        <f t="shared" si="18"/>
        <v>0.13500000000000001</v>
      </c>
      <c r="AZ66" s="126">
        <f t="shared" si="19"/>
        <v>0.18</v>
      </c>
      <c r="BA66" s="207">
        <f t="shared" si="42"/>
        <v>8400</v>
      </c>
      <c r="BB66" s="125">
        <f t="shared" si="43"/>
        <v>108322.62368713434</v>
      </c>
      <c r="BC66" s="48">
        <f t="shared" si="44"/>
        <v>1260</v>
      </c>
      <c r="BD66" s="48">
        <f t="shared" si="45"/>
        <v>4332.9049474853737</v>
      </c>
      <c r="BE66" s="128">
        <f t="shared" si="46"/>
        <v>113915.52863461971</v>
      </c>
    </row>
    <row r="67" spans="2:59" s="1" customFormat="1" ht="15.75" thickTop="1" thickBot="1">
      <c r="B67" s="157">
        <f t="shared" si="52"/>
        <v>40</v>
      </c>
      <c r="C67" s="158">
        <f t="shared" si="52"/>
        <v>61</v>
      </c>
      <c r="D67" s="187">
        <f t="shared" si="47"/>
        <v>1</v>
      </c>
      <c r="E67" s="183">
        <f t="shared" si="21"/>
        <v>700</v>
      </c>
      <c r="F67" s="206">
        <f t="shared" si="22"/>
        <v>12</v>
      </c>
      <c r="G67" s="232">
        <f t="shared" si="23"/>
        <v>8400</v>
      </c>
      <c r="I67" s="157">
        <f t="shared" si="24"/>
        <v>40</v>
      </c>
      <c r="J67" s="161">
        <f t="shared" si="25"/>
        <v>61</v>
      </c>
      <c r="K67" s="161">
        <f t="shared" si="3"/>
        <v>12</v>
      </c>
      <c r="L67" s="158">
        <f t="shared" si="26"/>
        <v>6000</v>
      </c>
      <c r="M67" s="161">
        <f t="shared" si="4"/>
        <v>2400</v>
      </c>
      <c r="N67" s="161">
        <f t="shared" si="27"/>
        <v>8400</v>
      </c>
      <c r="O67" s="182">
        <f t="shared" si="28"/>
        <v>700</v>
      </c>
      <c r="Q67" s="157">
        <f t="shared" si="5"/>
        <v>40</v>
      </c>
      <c r="R67" s="158">
        <f t="shared" si="6"/>
        <v>62</v>
      </c>
      <c r="S67" s="158">
        <v>1</v>
      </c>
      <c r="T67" s="159">
        <f t="shared" si="48"/>
        <v>0.1</v>
      </c>
      <c r="U67" s="158">
        <f t="shared" si="8"/>
        <v>2400</v>
      </c>
      <c r="V67" s="158">
        <f t="shared" si="29"/>
        <v>21698.195930403748</v>
      </c>
      <c r="W67" s="158">
        <f t="shared" si="30"/>
        <v>240</v>
      </c>
      <c r="X67" s="233">
        <f t="shared" si="31"/>
        <v>867.9278372161499</v>
      </c>
      <c r="Y67" s="160">
        <f t="shared" si="32"/>
        <v>22806.123767619898</v>
      </c>
      <c r="AA67" s="157">
        <f t="shared" si="9"/>
        <v>40</v>
      </c>
      <c r="AB67" s="158">
        <f t="shared" si="10"/>
        <v>62</v>
      </c>
      <c r="AC67" s="158">
        <f t="shared" si="11"/>
        <v>0</v>
      </c>
      <c r="AD67" s="159">
        <f t="shared" si="49"/>
        <v>0.15</v>
      </c>
      <c r="AE67" s="158">
        <f t="shared" si="12"/>
        <v>8400</v>
      </c>
      <c r="AF67" s="158">
        <f t="shared" si="33"/>
        <v>0</v>
      </c>
      <c r="AG67" s="158">
        <f t="shared" si="34"/>
        <v>0</v>
      </c>
      <c r="AH67" s="158">
        <f t="shared" si="13"/>
        <v>0</v>
      </c>
      <c r="AI67" s="160">
        <f t="shared" si="35"/>
        <v>0</v>
      </c>
      <c r="AK67" s="157">
        <f t="shared" si="36"/>
        <v>40</v>
      </c>
      <c r="AL67" s="158">
        <f t="shared" si="36"/>
        <v>62</v>
      </c>
      <c r="AM67" s="158">
        <v>1</v>
      </c>
      <c r="AN67" s="159">
        <f t="shared" si="15"/>
        <v>0.13500000000000001</v>
      </c>
      <c r="AO67" s="159">
        <f t="shared" si="16"/>
        <v>0.18</v>
      </c>
      <c r="AP67" s="228">
        <f t="shared" si="37"/>
        <v>8400</v>
      </c>
      <c r="AQ67" s="158">
        <f t="shared" si="38"/>
        <v>113915.52863461971</v>
      </c>
      <c r="AR67" s="158">
        <f t="shared" si="39"/>
        <v>1260</v>
      </c>
      <c r="AS67" s="183">
        <f t="shared" si="40"/>
        <v>4556.6211453847882</v>
      </c>
      <c r="AT67" s="160">
        <f t="shared" si="41"/>
        <v>119732.1497800045</v>
      </c>
      <c r="AV67" s="157">
        <f t="shared" si="51"/>
        <v>40</v>
      </c>
      <c r="AW67" s="158">
        <f t="shared" si="51"/>
        <v>62</v>
      </c>
      <c r="AX67" s="183">
        <v>1</v>
      </c>
      <c r="AY67" s="159">
        <f t="shared" si="18"/>
        <v>0.13500000000000001</v>
      </c>
      <c r="AZ67" s="159">
        <f t="shared" si="19"/>
        <v>0.18</v>
      </c>
      <c r="BA67" s="228">
        <f t="shared" si="42"/>
        <v>8400</v>
      </c>
      <c r="BB67" s="158">
        <f t="shared" si="43"/>
        <v>113915.52863461971</v>
      </c>
      <c r="BC67" s="183">
        <f t="shared" si="44"/>
        <v>1260</v>
      </c>
      <c r="BD67" s="183">
        <f t="shared" si="45"/>
        <v>4556.6211453847882</v>
      </c>
      <c r="BE67" s="160">
        <f t="shared" si="46"/>
        <v>119732.1497800045</v>
      </c>
    </row>
    <row r="68" spans="2:59" ht="15.75" thickTop="1" thickBot="1">
      <c r="B68" s="58">
        <f t="shared" si="52"/>
        <v>41</v>
      </c>
      <c r="C68" s="52">
        <f t="shared" si="52"/>
        <v>62</v>
      </c>
      <c r="D68" s="185">
        <f t="shared" si="47"/>
        <v>1</v>
      </c>
      <c r="E68" s="48">
        <f t="shared" si="21"/>
        <v>0</v>
      </c>
      <c r="F68" s="205">
        <f t="shared" si="22"/>
        <v>0</v>
      </c>
      <c r="G68" s="192">
        <f t="shared" si="23"/>
        <v>0</v>
      </c>
      <c r="I68" s="58">
        <f t="shared" si="24"/>
        <v>41</v>
      </c>
      <c r="J68" s="74">
        <f t="shared" si="25"/>
        <v>62</v>
      </c>
      <c r="K68" s="74">
        <f t="shared" si="3"/>
        <v>0</v>
      </c>
      <c r="L68" s="52">
        <f t="shared" si="26"/>
        <v>0</v>
      </c>
      <c r="M68" s="74">
        <f t="shared" si="4"/>
        <v>0</v>
      </c>
      <c r="N68" s="74">
        <f t="shared" si="27"/>
        <v>0</v>
      </c>
      <c r="O68" s="180">
        <f t="shared" si="28"/>
        <v>0</v>
      </c>
      <c r="Q68" s="58">
        <f t="shared" si="5"/>
        <v>41</v>
      </c>
      <c r="R68" s="52">
        <f t="shared" si="6"/>
        <v>63</v>
      </c>
      <c r="S68" s="52">
        <f t="shared" si="7"/>
        <v>0</v>
      </c>
      <c r="T68" s="54">
        <f t="shared" si="48"/>
        <v>0.1</v>
      </c>
      <c r="U68" s="52">
        <f t="shared" si="8"/>
        <v>0</v>
      </c>
      <c r="V68" s="52">
        <f t="shared" si="29"/>
        <v>22806.123767619898</v>
      </c>
      <c r="W68" s="52">
        <f t="shared" si="30"/>
        <v>0</v>
      </c>
      <c r="X68" s="87">
        <f t="shared" si="31"/>
        <v>912.24495070479588</v>
      </c>
      <c r="Y68" s="53">
        <f t="shared" si="32"/>
        <v>23718.368718324695</v>
      </c>
      <c r="AA68" s="58">
        <f t="shared" si="9"/>
        <v>41</v>
      </c>
      <c r="AB68" s="52">
        <f t="shared" si="10"/>
        <v>63</v>
      </c>
      <c r="AC68" s="52">
        <f t="shared" si="11"/>
        <v>0</v>
      </c>
      <c r="AD68" s="54">
        <f t="shared" si="49"/>
        <v>0.15</v>
      </c>
      <c r="AE68" s="52">
        <f t="shared" si="12"/>
        <v>0</v>
      </c>
      <c r="AF68" s="52">
        <f t="shared" si="33"/>
        <v>0</v>
      </c>
      <c r="AG68" s="52">
        <f t="shared" si="34"/>
        <v>0</v>
      </c>
      <c r="AH68" s="52">
        <f t="shared" si="13"/>
        <v>0</v>
      </c>
      <c r="AI68" s="53">
        <f t="shared" si="35"/>
        <v>0</v>
      </c>
      <c r="AK68" s="58">
        <f t="shared" si="36"/>
        <v>41</v>
      </c>
      <c r="AL68" s="52">
        <f t="shared" si="36"/>
        <v>63</v>
      </c>
      <c r="AM68" s="52">
        <v>0</v>
      </c>
      <c r="AN68" s="54">
        <f t="shared" si="15"/>
        <v>0</v>
      </c>
      <c r="AO68" s="54">
        <f t="shared" si="16"/>
        <v>0</v>
      </c>
      <c r="AP68" s="207">
        <f t="shared" si="37"/>
        <v>0</v>
      </c>
      <c r="AQ68" s="52">
        <f t="shared" si="38"/>
        <v>119732.1497800045</v>
      </c>
      <c r="AR68" s="52">
        <f t="shared" si="39"/>
        <v>0</v>
      </c>
      <c r="AS68" s="48">
        <f t="shared" si="40"/>
        <v>4789.2859912001804</v>
      </c>
      <c r="AT68" s="53">
        <f t="shared" si="41"/>
        <v>124521.43577120468</v>
      </c>
      <c r="AV68" s="58">
        <f t="shared" si="51"/>
        <v>41</v>
      </c>
      <c r="AW68" s="52">
        <f t="shared" si="51"/>
        <v>63</v>
      </c>
      <c r="AX68" s="183">
        <v>0</v>
      </c>
      <c r="AY68" s="54">
        <f t="shared" si="18"/>
        <v>0</v>
      </c>
      <c r="AZ68" s="54">
        <f t="shared" si="19"/>
        <v>0</v>
      </c>
      <c r="BA68" s="207">
        <f t="shared" si="42"/>
        <v>0</v>
      </c>
      <c r="BB68" s="52">
        <f t="shared" si="43"/>
        <v>119732.1497800045</v>
      </c>
      <c r="BC68" s="48">
        <f t="shared" si="44"/>
        <v>0</v>
      </c>
      <c r="BD68" s="48">
        <f t="shared" si="45"/>
        <v>4789.2859912001804</v>
      </c>
      <c r="BE68" s="53">
        <f t="shared" si="46"/>
        <v>124521.43577120468</v>
      </c>
    </row>
    <row r="69" spans="2:59" ht="15.75" thickTop="1" thickBot="1">
      <c r="B69" s="58">
        <f t="shared" si="52"/>
        <v>42</v>
      </c>
      <c r="C69" s="52">
        <f t="shared" si="52"/>
        <v>63</v>
      </c>
      <c r="D69" s="185">
        <f t="shared" si="47"/>
        <v>1</v>
      </c>
      <c r="E69" s="48">
        <f t="shared" si="21"/>
        <v>0</v>
      </c>
      <c r="F69" s="205">
        <f t="shared" si="22"/>
        <v>0</v>
      </c>
      <c r="G69" s="192">
        <f t="shared" si="23"/>
        <v>0</v>
      </c>
      <c r="I69" s="58">
        <f t="shared" si="24"/>
        <v>42</v>
      </c>
      <c r="J69" s="74">
        <f t="shared" si="25"/>
        <v>63</v>
      </c>
      <c r="K69" s="74">
        <f t="shared" si="3"/>
        <v>0</v>
      </c>
      <c r="L69" s="52">
        <f t="shared" si="26"/>
        <v>0</v>
      </c>
      <c r="M69" s="74">
        <f t="shared" si="4"/>
        <v>0</v>
      </c>
      <c r="N69" s="74">
        <f t="shared" si="27"/>
        <v>0</v>
      </c>
      <c r="O69" s="180">
        <f t="shared" si="28"/>
        <v>0</v>
      </c>
      <c r="Q69" s="124">
        <f t="shared" si="5"/>
        <v>42</v>
      </c>
      <c r="R69" s="125">
        <f t="shared" si="6"/>
        <v>64</v>
      </c>
      <c r="S69" s="125">
        <f t="shared" si="7"/>
        <v>0</v>
      </c>
      <c r="T69" s="126">
        <f t="shared" si="48"/>
        <v>0.1</v>
      </c>
      <c r="U69" s="125">
        <f t="shared" si="8"/>
        <v>0</v>
      </c>
      <c r="V69" s="125">
        <f t="shared" si="29"/>
        <v>23718.368718324695</v>
      </c>
      <c r="W69" s="125">
        <f t="shared" si="30"/>
        <v>0</v>
      </c>
      <c r="X69" s="87">
        <f t="shared" si="31"/>
        <v>948.73474873298778</v>
      </c>
      <c r="Y69" s="128">
        <f t="shared" si="32"/>
        <v>24667.103467057681</v>
      </c>
      <c r="AA69" s="58">
        <f t="shared" si="9"/>
        <v>42</v>
      </c>
      <c r="AB69" s="52">
        <f t="shared" si="10"/>
        <v>64</v>
      </c>
      <c r="AC69" s="52">
        <f t="shared" si="11"/>
        <v>0</v>
      </c>
      <c r="AD69" s="54">
        <f t="shared" si="49"/>
        <v>0.15</v>
      </c>
      <c r="AE69" s="52">
        <f t="shared" si="12"/>
        <v>0</v>
      </c>
      <c r="AF69" s="52">
        <f t="shared" si="33"/>
        <v>0</v>
      </c>
      <c r="AG69" s="52">
        <f t="shared" si="34"/>
        <v>0</v>
      </c>
      <c r="AH69" s="52">
        <f t="shared" si="13"/>
        <v>0</v>
      </c>
      <c r="AI69" s="53">
        <f t="shared" si="35"/>
        <v>0</v>
      </c>
      <c r="AK69" s="58">
        <f t="shared" si="36"/>
        <v>42</v>
      </c>
      <c r="AL69" s="52">
        <f t="shared" si="36"/>
        <v>64</v>
      </c>
      <c r="AM69" s="52">
        <v>0</v>
      </c>
      <c r="AN69" s="54">
        <f t="shared" si="15"/>
        <v>0</v>
      </c>
      <c r="AO69" s="54">
        <f t="shared" si="16"/>
        <v>0</v>
      </c>
      <c r="AP69" s="207">
        <f t="shared" si="37"/>
        <v>0</v>
      </c>
      <c r="AQ69" s="52">
        <f t="shared" si="38"/>
        <v>124521.43577120468</v>
      </c>
      <c r="AR69" s="52">
        <f t="shared" si="39"/>
        <v>0</v>
      </c>
      <c r="AS69" s="48">
        <f t="shared" si="40"/>
        <v>4980.8574308481875</v>
      </c>
      <c r="AT69" s="53">
        <f t="shared" si="41"/>
        <v>129502.29320205287</v>
      </c>
      <c r="AV69" s="58">
        <f t="shared" si="51"/>
        <v>42</v>
      </c>
      <c r="AW69" s="52">
        <f t="shared" si="51"/>
        <v>64</v>
      </c>
      <c r="AX69" s="183">
        <v>0</v>
      </c>
      <c r="AY69" s="54">
        <f t="shared" si="18"/>
        <v>0</v>
      </c>
      <c r="AZ69" s="54">
        <f t="shared" si="19"/>
        <v>0</v>
      </c>
      <c r="BA69" s="207">
        <f t="shared" si="42"/>
        <v>0</v>
      </c>
      <c r="BB69" s="52">
        <f t="shared" si="43"/>
        <v>124521.43577120468</v>
      </c>
      <c r="BC69" s="48">
        <f t="shared" si="44"/>
        <v>0</v>
      </c>
      <c r="BD69" s="48">
        <f t="shared" si="45"/>
        <v>4980.8574308481875</v>
      </c>
      <c r="BE69" s="53">
        <f t="shared" si="46"/>
        <v>129502.29320205287</v>
      </c>
    </row>
    <row r="70" spans="2:59" ht="15.75" thickTop="1" thickBot="1">
      <c r="B70" s="124">
        <f t="shared" si="52"/>
        <v>43</v>
      </c>
      <c r="C70" s="125">
        <f t="shared" si="52"/>
        <v>64</v>
      </c>
      <c r="D70" s="185">
        <f t="shared" si="47"/>
        <v>1</v>
      </c>
      <c r="E70" s="48">
        <f t="shared" si="21"/>
        <v>0</v>
      </c>
      <c r="F70" s="205">
        <f t="shared" si="22"/>
        <v>0</v>
      </c>
      <c r="G70" s="192">
        <f t="shared" si="23"/>
        <v>0</v>
      </c>
      <c r="I70" s="124">
        <f t="shared" si="24"/>
        <v>43</v>
      </c>
      <c r="J70" s="129">
        <f t="shared" si="25"/>
        <v>64</v>
      </c>
      <c r="K70" s="129">
        <f t="shared" si="3"/>
        <v>0</v>
      </c>
      <c r="L70" s="125">
        <f t="shared" si="26"/>
        <v>0</v>
      </c>
      <c r="M70" s="129">
        <f t="shared" si="4"/>
        <v>0</v>
      </c>
      <c r="N70" s="129">
        <f t="shared" si="27"/>
        <v>0</v>
      </c>
      <c r="O70" s="180">
        <f t="shared" si="28"/>
        <v>0</v>
      </c>
      <c r="P70"/>
      <c r="Q70" s="124">
        <f t="shared" si="5"/>
        <v>43</v>
      </c>
      <c r="R70" s="125">
        <f t="shared" si="6"/>
        <v>65</v>
      </c>
      <c r="S70" s="125">
        <f t="shared" si="7"/>
        <v>0</v>
      </c>
      <c r="T70" s="126">
        <f t="shared" si="48"/>
        <v>0.1</v>
      </c>
      <c r="U70" s="125">
        <f t="shared" si="8"/>
        <v>0</v>
      </c>
      <c r="V70" s="125">
        <f t="shared" si="29"/>
        <v>24667.103467057681</v>
      </c>
      <c r="W70" s="125">
        <f t="shared" si="30"/>
        <v>0</v>
      </c>
      <c r="X70" s="87">
        <f t="shared" si="31"/>
        <v>986.68413868230721</v>
      </c>
      <c r="Y70" s="128">
        <f t="shared" si="32"/>
        <v>25653.787605739988</v>
      </c>
      <c r="Z70"/>
      <c r="AA70" s="124">
        <f t="shared" si="9"/>
        <v>43</v>
      </c>
      <c r="AB70" s="125">
        <f t="shared" si="10"/>
        <v>65</v>
      </c>
      <c r="AC70" s="125">
        <f t="shared" si="11"/>
        <v>0</v>
      </c>
      <c r="AD70" s="126">
        <f t="shared" si="49"/>
        <v>0.15</v>
      </c>
      <c r="AE70" s="125">
        <f t="shared" si="12"/>
        <v>0</v>
      </c>
      <c r="AF70" s="125">
        <f t="shared" si="33"/>
        <v>0</v>
      </c>
      <c r="AG70" s="125">
        <f t="shared" si="34"/>
        <v>0</v>
      </c>
      <c r="AH70" s="125">
        <f t="shared" si="13"/>
        <v>0</v>
      </c>
      <c r="AI70" s="128">
        <f t="shared" si="35"/>
        <v>0</v>
      </c>
      <c r="AK70" s="124">
        <f t="shared" si="36"/>
        <v>43</v>
      </c>
      <c r="AL70" s="125">
        <f t="shared" si="36"/>
        <v>65</v>
      </c>
      <c r="AM70" s="52">
        <v>0</v>
      </c>
      <c r="AN70" s="126">
        <f t="shared" si="15"/>
        <v>0</v>
      </c>
      <c r="AO70" s="126">
        <f t="shared" si="16"/>
        <v>0</v>
      </c>
      <c r="AP70" s="207">
        <f t="shared" si="37"/>
        <v>0</v>
      </c>
      <c r="AQ70" s="125">
        <f t="shared" si="38"/>
        <v>129502.29320205287</v>
      </c>
      <c r="AR70" s="52">
        <f t="shared" si="39"/>
        <v>0</v>
      </c>
      <c r="AS70" s="48">
        <f t="shared" si="40"/>
        <v>5180.091728082115</v>
      </c>
      <c r="AT70" s="128">
        <f t="shared" si="41"/>
        <v>134682.38493013498</v>
      </c>
      <c r="AU70"/>
      <c r="AV70" s="124">
        <f t="shared" si="51"/>
        <v>43</v>
      </c>
      <c r="AW70" s="125">
        <f t="shared" si="51"/>
        <v>65</v>
      </c>
      <c r="AX70" s="183">
        <v>0</v>
      </c>
      <c r="AY70" s="126">
        <f t="shared" si="18"/>
        <v>0</v>
      </c>
      <c r="AZ70" s="126">
        <f t="shared" si="19"/>
        <v>0</v>
      </c>
      <c r="BA70" s="207">
        <f t="shared" si="42"/>
        <v>0</v>
      </c>
      <c r="BB70" s="125">
        <f t="shared" si="43"/>
        <v>129502.29320205287</v>
      </c>
      <c r="BC70" s="48">
        <f t="shared" si="44"/>
        <v>0</v>
      </c>
      <c r="BD70" s="48">
        <f t="shared" si="45"/>
        <v>5180.091728082115</v>
      </c>
      <c r="BE70" s="128">
        <f t="shared" si="46"/>
        <v>134682.38493013498</v>
      </c>
      <c r="BG70"/>
    </row>
    <row r="71" spans="2:59" ht="15.75" thickTop="1" thickBot="1">
      <c r="B71" s="124">
        <f t="shared" si="52"/>
        <v>44</v>
      </c>
      <c r="C71" s="125">
        <f t="shared" si="52"/>
        <v>65</v>
      </c>
      <c r="D71" s="185">
        <f t="shared" si="47"/>
        <v>1</v>
      </c>
      <c r="E71" s="48">
        <f t="shared" si="21"/>
        <v>0</v>
      </c>
      <c r="F71" s="205">
        <f t="shared" si="22"/>
        <v>0</v>
      </c>
      <c r="G71" s="192">
        <f t="shared" si="23"/>
        <v>0</v>
      </c>
      <c r="I71" s="58">
        <f t="shared" si="24"/>
        <v>44</v>
      </c>
      <c r="J71" s="74">
        <f t="shared" si="25"/>
        <v>65</v>
      </c>
      <c r="K71" s="74">
        <f t="shared" si="3"/>
        <v>0</v>
      </c>
      <c r="L71" s="52">
        <f t="shared" si="26"/>
        <v>0</v>
      </c>
      <c r="M71" s="74">
        <f t="shared" si="4"/>
        <v>0</v>
      </c>
      <c r="N71" s="74">
        <f t="shared" si="27"/>
        <v>0</v>
      </c>
      <c r="O71" s="180">
        <f t="shared" si="28"/>
        <v>0</v>
      </c>
      <c r="Q71" s="58">
        <f t="shared" si="5"/>
        <v>44</v>
      </c>
      <c r="R71" s="52">
        <f t="shared" si="6"/>
        <v>66</v>
      </c>
      <c r="S71" s="52">
        <f t="shared" si="7"/>
        <v>0</v>
      </c>
      <c r="T71" s="54">
        <f t="shared" si="48"/>
        <v>0.1</v>
      </c>
      <c r="U71" s="52">
        <f t="shared" si="8"/>
        <v>0</v>
      </c>
      <c r="V71" s="52">
        <f t="shared" si="29"/>
        <v>25653.787605739988</v>
      </c>
      <c r="W71" s="52">
        <f t="shared" si="30"/>
        <v>0</v>
      </c>
      <c r="X71" s="87">
        <f t="shared" si="31"/>
        <v>1026.1515042295996</v>
      </c>
      <c r="Y71" s="53">
        <f t="shared" si="32"/>
        <v>26679.939109969586</v>
      </c>
      <c r="AA71" s="58">
        <f t="shared" si="9"/>
        <v>44</v>
      </c>
      <c r="AB71" s="52">
        <f t="shared" si="10"/>
        <v>66</v>
      </c>
      <c r="AC71" s="52">
        <f t="shared" si="11"/>
        <v>0</v>
      </c>
      <c r="AD71" s="54">
        <f t="shared" si="49"/>
        <v>0.15</v>
      </c>
      <c r="AE71" s="52">
        <f t="shared" si="12"/>
        <v>0</v>
      </c>
      <c r="AF71" s="52">
        <f t="shared" si="33"/>
        <v>0</v>
      </c>
      <c r="AG71" s="52">
        <f t="shared" si="34"/>
        <v>0</v>
      </c>
      <c r="AH71" s="52">
        <f t="shared" si="13"/>
        <v>0</v>
      </c>
      <c r="AI71" s="53">
        <f t="shared" si="35"/>
        <v>0</v>
      </c>
      <c r="AK71" s="58">
        <f t="shared" si="36"/>
        <v>44</v>
      </c>
      <c r="AL71" s="52">
        <f t="shared" si="36"/>
        <v>66</v>
      </c>
      <c r="AM71" s="52">
        <v>0</v>
      </c>
      <c r="AN71" s="54">
        <f t="shared" si="15"/>
        <v>0</v>
      </c>
      <c r="AO71" s="54">
        <f t="shared" si="16"/>
        <v>0</v>
      </c>
      <c r="AP71" s="207">
        <f t="shared" si="37"/>
        <v>0</v>
      </c>
      <c r="AQ71" s="52">
        <f t="shared" si="38"/>
        <v>134682.38493013498</v>
      </c>
      <c r="AR71" s="52">
        <f t="shared" si="39"/>
        <v>0</v>
      </c>
      <c r="AS71" s="48">
        <f t="shared" si="40"/>
        <v>5387.2953972053992</v>
      </c>
      <c r="AT71" s="53">
        <f t="shared" si="41"/>
        <v>140069.68032734038</v>
      </c>
      <c r="AV71" s="58">
        <f t="shared" si="51"/>
        <v>44</v>
      </c>
      <c r="AW71" s="52">
        <f t="shared" si="51"/>
        <v>66</v>
      </c>
      <c r="AX71" s="183">
        <v>0</v>
      </c>
      <c r="AY71" s="54">
        <f t="shared" si="18"/>
        <v>0</v>
      </c>
      <c r="AZ71" s="54">
        <f t="shared" si="19"/>
        <v>0</v>
      </c>
      <c r="BA71" s="207">
        <f t="shared" si="42"/>
        <v>0</v>
      </c>
      <c r="BB71" s="52">
        <f t="shared" si="43"/>
        <v>134682.38493013498</v>
      </c>
      <c r="BC71" s="48">
        <f t="shared" si="44"/>
        <v>0</v>
      </c>
      <c r="BD71" s="48">
        <f t="shared" si="45"/>
        <v>5387.2953972053992</v>
      </c>
      <c r="BE71" s="53">
        <f t="shared" si="46"/>
        <v>140069.68032734038</v>
      </c>
    </row>
    <row r="72" spans="2:59" ht="15.75" thickTop="1" thickBot="1">
      <c r="B72" s="58">
        <f t="shared" si="52"/>
        <v>45</v>
      </c>
      <c r="C72" s="52">
        <f t="shared" si="52"/>
        <v>66</v>
      </c>
      <c r="D72" s="185">
        <f t="shared" si="47"/>
        <v>1</v>
      </c>
      <c r="E72" s="48">
        <f t="shared" si="21"/>
        <v>0</v>
      </c>
      <c r="F72" s="205">
        <f t="shared" si="22"/>
        <v>0</v>
      </c>
      <c r="G72" s="192">
        <f t="shared" si="23"/>
        <v>0</v>
      </c>
      <c r="I72" s="58">
        <f t="shared" si="24"/>
        <v>45</v>
      </c>
      <c r="J72" s="74">
        <f t="shared" si="25"/>
        <v>66</v>
      </c>
      <c r="K72" s="74">
        <f t="shared" si="3"/>
        <v>0</v>
      </c>
      <c r="L72" s="52">
        <f t="shared" si="26"/>
        <v>0</v>
      </c>
      <c r="M72" s="74">
        <f t="shared" si="4"/>
        <v>0</v>
      </c>
      <c r="N72" s="74">
        <f t="shared" si="27"/>
        <v>0</v>
      </c>
      <c r="O72" s="180">
        <f t="shared" si="28"/>
        <v>0</v>
      </c>
      <c r="Q72" s="58">
        <f t="shared" si="5"/>
        <v>45</v>
      </c>
      <c r="R72" s="52">
        <f t="shared" si="6"/>
        <v>67</v>
      </c>
      <c r="S72" s="52">
        <f t="shared" si="7"/>
        <v>0</v>
      </c>
      <c r="T72" s="54">
        <f t="shared" si="48"/>
        <v>0.1</v>
      </c>
      <c r="U72" s="52">
        <f t="shared" si="8"/>
        <v>0</v>
      </c>
      <c r="V72" s="52">
        <f t="shared" si="29"/>
        <v>26679.939109969586</v>
      </c>
      <c r="W72" s="52">
        <f t="shared" si="30"/>
        <v>0</v>
      </c>
      <c r="X72" s="87">
        <f t="shared" si="31"/>
        <v>1067.1975643987835</v>
      </c>
      <c r="Y72" s="53">
        <f t="shared" si="32"/>
        <v>27747.136674368368</v>
      </c>
      <c r="AA72" s="58">
        <f t="shared" si="9"/>
        <v>45</v>
      </c>
      <c r="AB72" s="52">
        <f t="shared" si="10"/>
        <v>67</v>
      </c>
      <c r="AC72" s="52">
        <f t="shared" si="11"/>
        <v>0</v>
      </c>
      <c r="AD72" s="54">
        <f t="shared" si="49"/>
        <v>0.15</v>
      </c>
      <c r="AE72" s="52">
        <f t="shared" si="12"/>
        <v>0</v>
      </c>
      <c r="AF72" s="52">
        <f t="shared" si="33"/>
        <v>0</v>
      </c>
      <c r="AG72" s="52">
        <f t="shared" si="34"/>
        <v>0</v>
      </c>
      <c r="AH72" s="52">
        <f t="shared" si="13"/>
        <v>0</v>
      </c>
      <c r="AI72" s="53">
        <f t="shared" si="35"/>
        <v>0</v>
      </c>
      <c r="AK72" s="58">
        <f t="shared" si="36"/>
        <v>45</v>
      </c>
      <c r="AL72" s="52">
        <f t="shared" si="36"/>
        <v>67</v>
      </c>
      <c r="AM72" s="52">
        <v>0</v>
      </c>
      <c r="AN72" s="54">
        <f t="shared" si="15"/>
        <v>0</v>
      </c>
      <c r="AO72" s="54">
        <f t="shared" si="16"/>
        <v>0</v>
      </c>
      <c r="AP72" s="207">
        <f t="shared" si="37"/>
        <v>0</v>
      </c>
      <c r="AQ72" s="52">
        <f t="shared" si="38"/>
        <v>140069.68032734038</v>
      </c>
      <c r="AR72" s="52">
        <f t="shared" si="39"/>
        <v>0</v>
      </c>
      <c r="AS72" s="48">
        <f t="shared" si="40"/>
        <v>5602.7872130936148</v>
      </c>
      <c r="AT72" s="53">
        <f t="shared" si="41"/>
        <v>145672.46754043398</v>
      </c>
      <c r="AV72" s="58">
        <f t="shared" si="51"/>
        <v>45</v>
      </c>
      <c r="AW72" s="52">
        <f t="shared" si="51"/>
        <v>67</v>
      </c>
      <c r="AX72" s="183">
        <v>0</v>
      </c>
      <c r="AY72" s="54">
        <f t="shared" si="18"/>
        <v>0</v>
      </c>
      <c r="AZ72" s="54">
        <f t="shared" si="19"/>
        <v>0</v>
      </c>
      <c r="BA72" s="207">
        <f t="shared" si="42"/>
        <v>0</v>
      </c>
      <c r="BB72" s="52">
        <f t="shared" si="43"/>
        <v>140069.68032734038</v>
      </c>
      <c r="BC72" s="48">
        <f t="shared" si="44"/>
        <v>0</v>
      </c>
      <c r="BD72" s="48">
        <f t="shared" si="45"/>
        <v>5602.7872130936148</v>
      </c>
      <c r="BE72" s="53">
        <f t="shared" si="46"/>
        <v>145672.46754043398</v>
      </c>
    </row>
    <row r="73" spans="2:59" ht="15.75" thickTop="1" thickBot="1">
      <c r="B73" s="58">
        <f t="shared" si="52"/>
        <v>46</v>
      </c>
      <c r="C73" s="52">
        <f t="shared" si="52"/>
        <v>67</v>
      </c>
      <c r="D73" s="185">
        <f t="shared" si="47"/>
        <v>1</v>
      </c>
      <c r="E73" s="48">
        <f t="shared" si="21"/>
        <v>0</v>
      </c>
      <c r="F73" s="205">
        <f t="shared" si="22"/>
        <v>0</v>
      </c>
      <c r="G73" s="192">
        <f t="shared" si="23"/>
        <v>0</v>
      </c>
      <c r="I73" s="58">
        <f t="shared" si="24"/>
        <v>46</v>
      </c>
      <c r="J73" s="74">
        <f t="shared" si="25"/>
        <v>67</v>
      </c>
      <c r="K73" s="74">
        <f t="shared" si="3"/>
        <v>0</v>
      </c>
      <c r="L73" s="52">
        <f t="shared" si="26"/>
        <v>0</v>
      </c>
      <c r="M73" s="74">
        <f t="shared" si="4"/>
        <v>0</v>
      </c>
      <c r="N73" s="74">
        <f t="shared" si="27"/>
        <v>0</v>
      </c>
      <c r="O73" s="180">
        <f t="shared" si="28"/>
        <v>0</v>
      </c>
      <c r="Q73" s="58">
        <f t="shared" si="5"/>
        <v>46</v>
      </c>
      <c r="R73" s="52">
        <f t="shared" si="6"/>
        <v>68</v>
      </c>
      <c r="S73" s="52">
        <f t="shared" si="7"/>
        <v>0</v>
      </c>
      <c r="T73" s="54">
        <f t="shared" si="48"/>
        <v>0.1</v>
      </c>
      <c r="U73" s="52">
        <f t="shared" si="8"/>
        <v>0</v>
      </c>
      <c r="V73" s="52">
        <f t="shared" si="29"/>
        <v>27747.136674368368</v>
      </c>
      <c r="W73" s="52">
        <f t="shared" si="30"/>
        <v>0</v>
      </c>
      <c r="X73" s="87">
        <f t="shared" si="31"/>
        <v>1109.8854669747348</v>
      </c>
      <c r="Y73" s="53">
        <f t="shared" si="32"/>
        <v>28857.022141343103</v>
      </c>
      <c r="AA73" s="58">
        <f t="shared" si="9"/>
        <v>46</v>
      </c>
      <c r="AB73" s="52">
        <f t="shared" si="10"/>
        <v>68</v>
      </c>
      <c r="AC73" s="52">
        <f t="shared" si="11"/>
        <v>0</v>
      </c>
      <c r="AD73" s="54">
        <f t="shared" si="49"/>
        <v>0.15</v>
      </c>
      <c r="AE73" s="52">
        <f t="shared" si="12"/>
        <v>0</v>
      </c>
      <c r="AF73" s="52">
        <f t="shared" si="33"/>
        <v>0</v>
      </c>
      <c r="AG73" s="52">
        <f t="shared" si="34"/>
        <v>0</v>
      </c>
      <c r="AH73" s="52">
        <f t="shared" si="13"/>
        <v>0</v>
      </c>
      <c r="AI73" s="53">
        <f t="shared" si="35"/>
        <v>0</v>
      </c>
      <c r="AK73" s="58">
        <f t="shared" si="36"/>
        <v>46</v>
      </c>
      <c r="AL73" s="52">
        <f t="shared" si="36"/>
        <v>68</v>
      </c>
      <c r="AM73" s="52">
        <v>0</v>
      </c>
      <c r="AN73" s="54">
        <f t="shared" si="15"/>
        <v>0</v>
      </c>
      <c r="AO73" s="54">
        <f t="shared" si="16"/>
        <v>0</v>
      </c>
      <c r="AP73" s="207">
        <f t="shared" si="37"/>
        <v>0</v>
      </c>
      <c r="AQ73" s="52">
        <f t="shared" si="38"/>
        <v>145672.46754043398</v>
      </c>
      <c r="AR73" s="52">
        <f t="shared" si="39"/>
        <v>0</v>
      </c>
      <c r="AS73" s="48">
        <f t="shared" si="40"/>
        <v>5826.8987016173596</v>
      </c>
      <c r="AT73" s="53">
        <f t="shared" si="41"/>
        <v>151499.36624205133</v>
      </c>
      <c r="AV73" s="58">
        <f t="shared" si="51"/>
        <v>46</v>
      </c>
      <c r="AW73" s="52">
        <f t="shared" si="51"/>
        <v>68</v>
      </c>
      <c r="AX73" s="183">
        <v>0</v>
      </c>
      <c r="AY73" s="54">
        <f t="shared" si="18"/>
        <v>0</v>
      </c>
      <c r="AZ73" s="54">
        <f t="shared" si="19"/>
        <v>0</v>
      </c>
      <c r="BA73" s="207">
        <f t="shared" si="42"/>
        <v>0</v>
      </c>
      <c r="BB73" s="52">
        <f t="shared" si="43"/>
        <v>145672.46754043398</v>
      </c>
      <c r="BC73" s="48">
        <f t="shared" si="44"/>
        <v>0</v>
      </c>
      <c r="BD73" s="48">
        <f t="shared" si="45"/>
        <v>5826.8987016173596</v>
      </c>
      <c r="BE73" s="53">
        <f t="shared" si="46"/>
        <v>151499.36624205133</v>
      </c>
    </row>
    <row r="74" spans="2:59" ht="15.75" thickTop="1" thickBot="1">
      <c r="B74" s="58">
        <f t="shared" si="52"/>
        <v>47</v>
      </c>
      <c r="C74" s="52">
        <f t="shared" si="52"/>
        <v>68</v>
      </c>
      <c r="D74" s="185">
        <f t="shared" si="47"/>
        <v>1</v>
      </c>
      <c r="E74" s="48">
        <f t="shared" si="21"/>
        <v>0</v>
      </c>
      <c r="F74" s="205">
        <f t="shared" si="22"/>
        <v>0</v>
      </c>
      <c r="G74" s="192">
        <f t="shared" si="23"/>
        <v>0</v>
      </c>
      <c r="I74" s="58">
        <f t="shared" si="24"/>
        <v>47</v>
      </c>
      <c r="J74" s="74">
        <f t="shared" si="25"/>
        <v>68</v>
      </c>
      <c r="K74" s="74">
        <f t="shared" si="3"/>
        <v>0</v>
      </c>
      <c r="L74" s="52">
        <f t="shared" si="26"/>
        <v>0</v>
      </c>
      <c r="M74" s="74">
        <f t="shared" si="4"/>
        <v>0</v>
      </c>
      <c r="N74" s="74">
        <f t="shared" si="27"/>
        <v>0</v>
      </c>
      <c r="O74" s="180">
        <f t="shared" si="28"/>
        <v>0</v>
      </c>
      <c r="Q74" s="58">
        <f t="shared" si="5"/>
        <v>47</v>
      </c>
      <c r="R74" s="52">
        <f t="shared" si="6"/>
        <v>69</v>
      </c>
      <c r="S74" s="52">
        <f t="shared" si="7"/>
        <v>0</v>
      </c>
      <c r="T74" s="54">
        <f t="shared" si="48"/>
        <v>0.1</v>
      </c>
      <c r="U74" s="52">
        <f t="shared" si="8"/>
        <v>0</v>
      </c>
      <c r="V74" s="52">
        <f t="shared" si="29"/>
        <v>28857.022141343103</v>
      </c>
      <c r="W74" s="52">
        <f t="shared" si="30"/>
        <v>0</v>
      </c>
      <c r="X74" s="87">
        <f t="shared" si="31"/>
        <v>1154.2808856537242</v>
      </c>
      <c r="Y74" s="53">
        <f t="shared" si="32"/>
        <v>30011.303026996826</v>
      </c>
      <c r="AA74" s="58">
        <f t="shared" si="9"/>
        <v>47</v>
      </c>
      <c r="AB74" s="52">
        <f t="shared" si="10"/>
        <v>69</v>
      </c>
      <c r="AC74" s="52">
        <f t="shared" si="11"/>
        <v>0</v>
      </c>
      <c r="AD74" s="54">
        <f t="shared" si="49"/>
        <v>0.15</v>
      </c>
      <c r="AE74" s="52">
        <f t="shared" si="12"/>
        <v>0</v>
      </c>
      <c r="AF74" s="52">
        <f t="shared" si="33"/>
        <v>0</v>
      </c>
      <c r="AG74" s="52">
        <f t="shared" si="34"/>
        <v>0</v>
      </c>
      <c r="AH74" s="52">
        <f t="shared" si="13"/>
        <v>0</v>
      </c>
      <c r="AI74" s="53">
        <f t="shared" si="35"/>
        <v>0</v>
      </c>
      <c r="AK74" s="58">
        <f t="shared" si="36"/>
        <v>47</v>
      </c>
      <c r="AL74" s="52">
        <f t="shared" si="36"/>
        <v>69</v>
      </c>
      <c r="AM74" s="52">
        <v>0</v>
      </c>
      <c r="AN74" s="54">
        <f t="shared" si="15"/>
        <v>0</v>
      </c>
      <c r="AO74" s="54">
        <f t="shared" si="16"/>
        <v>0</v>
      </c>
      <c r="AP74" s="207">
        <f t="shared" si="37"/>
        <v>0</v>
      </c>
      <c r="AQ74" s="52">
        <f t="shared" si="38"/>
        <v>151499.36624205133</v>
      </c>
      <c r="AR74" s="52">
        <f t="shared" si="39"/>
        <v>0</v>
      </c>
      <c r="AS74" s="48">
        <f t="shared" si="40"/>
        <v>6059.9746496820535</v>
      </c>
      <c r="AT74" s="53">
        <f t="shared" si="41"/>
        <v>157559.34089173339</v>
      </c>
      <c r="AV74" s="58">
        <f t="shared" si="51"/>
        <v>47</v>
      </c>
      <c r="AW74" s="52">
        <f t="shared" si="51"/>
        <v>69</v>
      </c>
      <c r="AX74" s="183">
        <v>0</v>
      </c>
      <c r="AY74" s="54">
        <f t="shared" si="18"/>
        <v>0</v>
      </c>
      <c r="AZ74" s="54">
        <f t="shared" si="19"/>
        <v>0</v>
      </c>
      <c r="BA74" s="207">
        <f t="shared" si="42"/>
        <v>0</v>
      </c>
      <c r="BB74" s="52">
        <f t="shared" si="43"/>
        <v>151499.36624205133</v>
      </c>
      <c r="BC74" s="48">
        <f t="shared" si="44"/>
        <v>0</v>
      </c>
      <c r="BD74" s="48">
        <f t="shared" si="45"/>
        <v>6059.9746496820535</v>
      </c>
      <c r="BE74" s="53">
        <f t="shared" si="46"/>
        <v>157559.34089173339</v>
      </c>
    </row>
    <row r="75" spans="2:59" ht="15.75" thickTop="1" thickBot="1">
      <c r="B75" s="58">
        <f t="shared" si="52"/>
        <v>48</v>
      </c>
      <c r="C75" s="52">
        <f t="shared" si="52"/>
        <v>69</v>
      </c>
      <c r="D75" s="185">
        <f t="shared" si="47"/>
        <v>1</v>
      </c>
      <c r="E75" s="48">
        <f t="shared" si="21"/>
        <v>0</v>
      </c>
      <c r="F75" s="205">
        <f t="shared" si="22"/>
        <v>0</v>
      </c>
      <c r="G75" s="192">
        <f t="shared" si="23"/>
        <v>0</v>
      </c>
      <c r="I75" s="58">
        <f t="shared" si="24"/>
        <v>48</v>
      </c>
      <c r="J75" s="74">
        <f t="shared" si="25"/>
        <v>69</v>
      </c>
      <c r="K75" s="74">
        <f t="shared" si="3"/>
        <v>0</v>
      </c>
      <c r="L75" s="52">
        <f t="shared" si="26"/>
        <v>0</v>
      </c>
      <c r="M75" s="74">
        <f t="shared" si="4"/>
        <v>0</v>
      </c>
      <c r="N75" s="74">
        <f t="shared" si="27"/>
        <v>0</v>
      </c>
      <c r="O75" s="180">
        <f t="shared" si="28"/>
        <v>0</v>
      </c>
      <c r="Q75" s="58">
        <f t="shared" si="5"/>
        <v>48</v>
      </c>
      <c r="R75" s="52">
        <f t="shared" si="6"/>
        <v>70</v>
      </c>
      <c r="S75" s="52">
        <f t="shared" si="7"/>
        <v>0</v>
      </c>
      <c r="T75" s="54">
        <f t="shared" si="48"/>
        <v>0.1</v>
      </c>
      <c r="U75" s="52">
        <f t="shared" si="8"/>
        <v>0</v>
      </c>
      <c r="V75" s="52">
        <f t="shared" si="29"/>
        <v>30011.303026996826</v>
      </c>
      <c r="W75" s="52">
        <f t="shared" si="30"/>
        <v>0</v>
      </c>
      <c r="X75" s="87">
        <f t="shared" si="31"/>
        <v>1200.452121079873</v>
      </c>
      <c r="Y75" s="53">
        <f t="shared" si="32"/>
        <v>31211.7551480767</v>
      </c>
      <c r="AA75" s="58">
        <f t="shared" si="9"/>
        <v>48</v>
      </c>
      <c r="AB75" s="52">
        <f t="shared" si="10"/>
        <v>70</v>
      </c>
      <c r="AC75" s="52">
        <f t="shared" si="11"/>
        <v>0</v>
      </c>
      <c r="AD75" s="54">
        <f t="shared" si="49"/>
        <v>0.15</v>
      </c>
      <c r="AE75" s="52">
        <f t="shared" si="12"/>
        <v>0</v>
      </c>
      <c r="AF75" s="52">
        <f t="shared" si="33"/>
        <v>0</v>
      </c>
      <c r="AG75" s="52">
        <f t="shared" si="34"/>
        <v>0</v>
      </c>
      <c r="AH75" s="52">
        <f t="shared" si="13"/>
        <v>0</v>
      </c>
      <c r="AI75" s="53">
        <f t="shared" si="35"/>
        <v>0</v>
      </c>
      <c r="AK75" s="58">
        <f t="shared" si="36"/>
        <v>48</v>
      </c>
      <c r="AL75" s="52">
        <f t="shared" si="36"/>
        <v>70</v>
      </c>
      <c r="AM75" s="52">
        <v>0</v>
      </c>
      <c r="AN75" s="54">
        <f t="shared" si="15"/>
        <v>0</v>
      </c>
      <c r="AO75" s="54">
        <f t="shared" si="16"/>
        <v>0</v>
      </c>
      <c r="AP75" s="207">
        <f t="shared" si="37"/>
        <v>0</v>
      </c>
      <c r="AQ75" s="52">
        <f t="shared" si="38"/>
        <v>157559.34089173339</v>
      </c>
      <c r="AR75" s="52">
        <f t="shared" si="39"/>
        <v>0</v>
      </c>
      <c r="AS75" s="48">
        <f t="shared" si="40"/>
        <v>6302.3736356693353</v>
      </c>
      <c r="AT75" s="53">
        <f t="shared" si="41"/>
        <v>163861.71452740271</v>
      </c>
      <c r="AV75" s="58">
        <f t="shared" si="51"/>
        <v>48</v>
      </c>
      <c r="AW75" s="52">
        <f t="shared" si="51"/>
        <v>70</v>
      </c>
      <c r="AX75" s="183">
        <v>0</v>
      </c>
      <c r="AY75" s="54">
        <f t="shared" si="18"/>
        <v>0</v>
      </c>
      <c r="AZ75" s="54">
        <f t="shared" si="19"/>
        <v>0</v>
      </c>
      <c r="BA75" s="207">
        <f t="shared" si="42"/>
        <v>0</v>
      </c>
      <c r="BB75" s="52">
        <f t="shared" si="43"/>
        <v>157559.34089173339</v>
      </c>
      <c r="BC75" s="48">
        <f t="shared" si="44"/>
        <v>0</v>
      </c>
      <c r="BD75" s="48">
        <f t="shared" si="45"/>
        <v>6302.3736356693353</v>
      </c>
      <c r="BE75" s="53">
        <f t="shared" si="46"/>
        <v>163861.71452740271</v>
      </c>
    </row>
    <row r="76" spans="2:59" ht="15.75" thickTop="1" thickBot="1">
      <c r="B76" s="59">
        <f t="shared" si="52"/>
        <v>49</v>
      </c>
      <c r="C76" s="55">
        <f t="shared" si="52"/>
        <v>70</v>
      </c>
      <c r="D76" s="185">
        <f t="shared" si="47"/>
        <v>1</v>
      </c>
      <c r="E76" s="48">
        <f t="shared" si="21"/>
        <v>0</v>
      </c>
      <c r="F76" s="205">
        <f t="shared" si="22"/>
        <v>0</v>
      </c>
      <c r="G76" s="192">
        <f t="shared" si="23"/>
        <v>0</v>
      </c>
      <c r="I76" s="59">
        <f t="shared" si="24"/>
        <v>49</v>
      </c>
      <c r="J76" s="76">
        <f t="shared" si="25"/>
        <v>70</v>
      </c>
      <c r="K76" s="76">
        <f t="shared" si="3"/>
        <v>0</v>
      </c>
      <c r="L76" s="55">
        <f t="shared" si="26"/>
        <v>0</v>
      </c>
      <c r="M76" s="76">
        <f t="shared" si="4"/>
        <v>0</v>
      </c>
      <c r="N76" s="76">
        <f t="shared" si="27"/>
        <v>0</v>
      </c>
      <c r="O76" s="181">
        <f t="shared" si="28"/>
        <v>0</v>
      </c>
      <c r="Q76" s="59">
        <f t="shared" si="5"/>
        <v>49</v>
      </c>
      <c r="R76" s="67">
        <f t="shared" si="6"/>
        <v>71</v>
      </c>
      <c r="S76" s="67">
        <f t="shared" si="7"/>
        <v>0</v>
      </c>
      <c r="T76" s="68">
        <f t="shared" si="48"/>
        <v>0.1</v>
      </c>
      <c r="U76" s="67">
        <f t="shared" si="8"/>
        <v>0</v>
      </c>
      <c r="V76" s="67">
        <f t="shared" si="29"/>
        <v>31211.7551480767</v>
      </c>
      <c r="W76" s="67">
        <f t="shared" si="30"/>
        <v>0</v>
      </c>
      <c r="X76" s="87">
        <f t="shared" si="31"/>
        <v>1248.4702059230681</v>
      </c>
      <c r="Y76" s="70">
        <f t="shared" si="32"/>
        <v>32460.225353999769</v>
      </c>
      <c r="AA76" s="59">
        <f t="shared" si="9"/>
        <v>49</v>
      </c>
      <c r="AB76" s="67">
        <f t="shared" si="10"/>
        <v>71</v>
      </c>
      <c r="AC76" s="67">
        <f t="shared" si="11"/>
        <v>0</v>
      </c>
      <c r="AD76" s="68">
        <f t="shared" si="49"/>
        <v>0.15</v>
      </c>
      <c r="AE76" s="67">
        <f t="shared" si="12"/>
        <v>0</v>
      </c>
      <c r="AF76" s="67">
        <f t="shared" si="33"/>
        <v>0</v>
      </c>
      <c r="AG76" s="67">
        <f t="shared" si="34"/>
        <v>0</v>
      </c>
      <c r="AH76" s="67">
        <f t="shared" si="13"/>
        <v>0</v>
      </c>
      <c r="AI76" s="69">
        <f t="shared" si="35"/>
        <v>0</v>
      </c>
      <c r="AK76" s="59">
        <f t="shared" si="36"/>
        <v>49</v>
      </c>
      <c r="AL76" s="67">
        <f t="shared" si="36"/>
        <v>71</v>
      </c>
      <c r="AM76" s="52">
        <v>0</v>
      </c>
      <c r="AN76" s="68">
        <f t="shared" si="15"/>
        <v>0</v>
      </c>
      <c r="AO76" s="68">
        <f t="shared" si="16"/>
        <v>0</v>
      </c>
      <c r="AP76" s="207">
        <f t="shared" si="37"/>
        <v>0</v>
      </c>
      <c r="AQ76" s="55">
        <f t="shared" si="38"/>
        <v>163861.71452740271</v>
      </c>
      <c r="AR76" s="52">
        <f t="shared" si="39"/>
        <v>0</v>
      </c>
      <c r="AS76" s="48">
        <f t="shared" si="40"/>
        <v>6554.4685810961091</v>
      </c>
      <c r="AT76" s="69">
        <f t="shared" si="41"/>
        <v>170416.18310849881</v>
      </c>
      <c r="AV76" s="59">
        <f t="shared" si="51"/>
        <v>49</v>
      </c>
      <c r="AW76" s="67">
        <f t="shared" si="51"/>
        <v>71</v>
      </c>
      <c r="AX76" s="183">
        <v>0</v>
      </c>
      <c r="AY76" s="68">
        <f t="shared" si="18"/>
        <v>0</v>
      </c>
      <c r="AZ76" s="68">
        <f t="shared" si="19"/>
        <v>0</v>
      </c>
      <c r="BA76" s="207">
        <f t="shared" si="42"/>
        <v>0</v>
      </c>
      <c r="BB76" s="55">
        <f t="shared" si="43"/>
        <v>163861.71452740271</v>
      </c>
      <c r="BC76" s="48">
        <f t="shared" si="44"/>
        <v>0</v>
      </c>
      <c r="BD76" s="48">
        <f t="shared" si="45"/>
        <v>6554.4685810961091</v>
      </c>
      <c r="BE76" s="69">
        <f t="shared" si="46"/>
        <v>170416.18310849881</v>
      </c>
    </row>
    <row r="77" spans="2:59" ht="15" thickTop="1"/>
    <row r="93" spans="2:2">
      <c r="B93" s="20">
        <f>+B92/12</f>
        <v>0</v>
      </c>
    </row>
    <row r="95" spans="2:2">
      <c r="B95" s="20">
        <f ca="1">+B93-BM8</f>
        <v>-8400</v>
      </c>
    </row>
  </sheetData>
  <mergeCells count="17">
    <mergeCell ref="BH10:BK10"/>
    <mergeCell ref="Q3:Y3"/>
    <mergeCell ref="AA3:AT3"/>
    <mergeCell ref="I4:O4"/>
    <mergeCell ref="BH8:BK8"/>
    <mergeCell ref="BH9:BK9"/>
    <mergeCell ref="B24:G24"/>
    <mergeCell ref="I24:O24"/>
    <mergeCell ref="Q24:Y24"/>
    <mergeCell ref="AA24:AI24"/>
    <mergeCell ref="AK24:AT24"/>
    <mergeCell ref="Q25:Y25"/>
    <mergeCell ref="AA25:AI25"/>
    <mergeCell ref="AK25:AT25"/>
    <mergeCell ref="AV25:BE25"/>
    <mergeCell ref="BH11:BK11"/>
    <mergeCell ref="AV24:BE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4"/>
  <dimension ref="A1:D35"/>
  <sheetViews>
    <sheetView workbookViewId="0">
      <selection activeCell="A28" sqref="A28:A32"/>
    </sheetView>
  </sheetViews>
  <sheetFormatPr baseColWidth="10" defaultColWidth="10.625" defaultRowHeight="14.25"/>
  <cols>
    <col min="1" max="1" width="11.125" bestFit="1" customWidth="1"/>
    <col min="2" max="2" width="12.5" bestFit="1" customWidth="1"/>
    <col min="3" max="3" width="11.125" bestFit="1" customWidth="1"/>
    <col min="4" max="4" width="12.5" bestFit="1" customWidth="1"/>
  </cols>
  <sheetData>
    <row r="1" spans="1:4" ht="18.75" thickBot="1">
      <c r="B1" s="270"/>
      <c r="C1" s="270"/>
      <c r="D1" s="270"/>
    </row>
    <row r="2" spans="1:4" ht="15.75">
      <c r="A2" s="271" t="s">
        <v>48</v>
      </c>
      <c r="B2" s="272"/>
      <c r="C2" s="272"/>
      <c r="D2" s="273"/>
    </row>
    <row r="3" spans="1:4" ht="16.5" thickBot="1">
      <c r="A3" s="274" t="s">
        <v>49</v>
      </c>
      <c r="B3" s="275"/>
      <c r="C3" s="275"/>
      <c r="D3" s="276"/>
    </row>
    <row r="4" spans="1:4" ht="38.25">
      <c r="A4" s="63" t="s">
        <v>50</v>
      </c>
      <c r="B4" s="63" t="s">
        <v>51</v>
      </c>
      <c r="C4" s="63" t="s">
        <v>52</v>
      </c>
      <c r="D4" s="63" t="s">
        <v>53</v>
      </c>
    </row>
    <row r="6" spans="1:4">
      <c r="A6">
        <f t="shared" ref="A6:A25" si="0">+A7-1</f>
        <v>41</v>
      </c>
      <c r="B6" s="64">
        <v>0</v>
      </c>
      <c r="C6">
        <f t="shared" ref="C6:C25" si="1">+C7-1</f>
        <v>36</v>
      </c>
      <c r="D6" s="64">
        <v>0</v>
      </c>
    </row>
    <row r="7" spans="1:4">
      <c r="A7">
        <f t="shared" si="0"/>
        <v>42</v>
      </c>
      <c r="B7" s="64">
        <v>6.9388939039072284E-17</v>
      </c>
      <c r="C7">
        <f t="shared" si="1"/>
        <v>37</v>
      </c>
      <c r="D7" s="64">
        <v>6.9388939039072284E-17</v>
      </c>
    </row>
    <row r="8" spans="1:4">
      <c r="A8">
        <f t="shared" si="0"/>
        <v>43</v>
      </c>
      <c r="B8" s="64">
        <v>6.9388939039072284E-17</v>
      </c>
      <c r="C8">
        <f t="shared" si="1"/>
        <v>38</v>
      </c>
      <c r="D8" s="64">
        <v>6.9388939039072284E-17</v>
      </c>
    </row>
    <row r="9" spans="1:4">
      <c r="A9">
        <f t="shared" si="0"/>
        <v>44</v>
      </c>
      <c r="B9" s="64">
        <v>6.9388939039072284E-17</v>
      </c>
      <c r="C9">
        <f t="shared" si="1"/>
        <v>39</v>
      </c>
      <c r="D9" s="64">
        <v>6.9388939039072284E-17</v>
      </c>
    </row>
    <row r="10" spans="1:4">
      <c r="A10">
        <f t="shared" si="0"/>
        <v>45</v>
      </c>
      <c r="B10" s="64">
        <v>6.9388939039072284E-17</v>
      </c>
      <c r="C10">
        <f t="shared" si="1"/>
        <v>40</v>
      </c>
      <c r="D10" s="64">
        <v>6.9388939039072284E-17</v>
      </c>
    </row>
    <row r="11" spans="1:4">
      <c r="A11">
        <f t="shared" si="0"/>
        <v>46</v>
      </c>
      <c r="B11" s="64">
        <v>6.9388939039072284E-17</v>
      </c>
      <c r="C11">
        <f t="shared" si="1"/>
        <v>41</v>
      </c>
      <c r="D11" s="64">
        <v>6.9388939039072284E-17</v>
      </c>
    </row>
    <row r="12" spans="1:4">
      <c r="A12">
        <f t="shared" si="0"/>
        <v>47</v>
      </c>
      <c r="B12" s="64">
        <v>5.0000000000000072E-2</v>
      </c>
      <c r="C12">
        <f t="shared" si="1"/>
        <v>42</v>
      </c>
      <c r="D12" s="64">
        <v>5.0000000000000072E-2</v>
      </c>
    </row>
    <row r="13" spans="1:4">
      <c r="A13">
        <f t="shared" si="0"/>
        <v>48</v>
      </c>
      <c r="B13" s="64">
        <v>0.10000000000000007</v>
      </c>
      <c r="C13">
        <f t="shared" si="1"/>
        <v>43</v>
      </c>
      <c r="D13" s="64">
        <v>0.10000000000000007</v>
      </c>
    </row>
    <row r="14" spans="1:4">
      <c r="A14">
        <f t="shared" si="0"/>
        <v>49</v>
      </c>
      <c r="B14" s="64">
        <v>0.15000000000000008</v>
      </c>
      <c r="C14">
        <f t="shared" si="1"/>
        <v>44</v>
      </c>
      <c r="D14" s="64">
        <v>0.15000000000000008</v>
      </c>
    </row>
    <row r="15" spans="1:4">
      <c r="A15">
        <f t="shared" si="0"/>
        <v>50</v>
      </c>
      <c r="B15" s="64">
        <v>0.20000000000000007</v>
      </c>
      <c r="C15">
        <f t="shared" si="1"/>
        <v>45</v>
      </c>
      <c r="D15" s="64">
        <v>0.20000000000000007</v>
      </c>
    </row>
    <row r="16" spans="1:4">
      <c r="A16">
        <f t="shared" si="0"/>
        <v>51</v>
      </c>
      <c r="B16" s="64">
        <v>0.25000000000000006</v>
      </c>
      <c r="C16">
        <f t="shared" si="1"/>
        <v>46</v>
      </c>
      <c r="D16" s="64">
        <v>0.25000000000000006</v>
      </c>
    </row>
    <row r="17" spans="1:4">
      <c r="A17">
        <f t="shared" si="0"/>
        <v>52</v>
      </c>
      <c r="B17" s="64">
        <v>0.30000000000000004</v>
      </c>
      <c r="C17">
        <f t="shared" si="1"/>
        <v>47</v>
      </c>
      <c r="D17" s="64">
        <v>0.30000000000000004</v>
      </c>
    </row>
    <row r="18" spans="1:4">
      <c r="A18">
        <f t="shared" si="0"/>
        <v>53</v>
      </c>
      <c r="B18" s="64">
        <v>0.35000000000000003</v>
      </c>
      <c r="C18">
        <f t="shared" si="1"/>
        <v>48</v>
      </c>
      <c r="D18" s="64">
        <v>0.35000000000000003</v>
      </c>
    </row>
    <row r="19" spans="1:4">
      <c r="A19">
        <f t="shared" si="0"/>
        <v>54</v>
      </c>
      <c r="B19" s="64">
        <v>0.4</v>
      </c>
      <c r="C19">
        <f t="shared" si="1"/>
        <v>49</v>
      </c>
      <c r="D19" s="64">
        <v>0.4</v>
      </c>
    </row>
    <row r="20" spans="1:4">
      <c r="A20">
        <f t="shared" si="0"/>
        <v>55</v>
      </c>
      <c r="B20" s="64">
        <v>0.45</v>
      </c>
      <c r="C20">
        <f t="shared" si="1"/>
        <v>50</v>
      </c>
      <c r="D20" s="64">
        <v>0.45</v>
      </c>
    </row>
    <row r="21" spans="1:4">
      <c r="A21">
        <f t="shared" si="0"/>
        <v>56</v>
      </c>
      <c r="B21" s="64">
        <v>0.5</v>
      </c>
      <c r="C21">
        <f t="shared" si="1"/>
        <v>51</v>
      </c>
      <c r="D21" s="64">
        <v>0.5</v>
      </c>
    </row>
    <row r="22" spans="1:4">
      <c r="A22">
        <f t="shared" si="0"/>
        <v>57</v>
      </c>
      <c r="B22" s="64">
        <v>0.55000000000000004</v>
      </c>
      <c r="C22">
        <f t="shared" si="1"/>
        <v>52</v>
      </c>
      <c r="D22" s="64">
        <v>0.55000000000000004</v>
      </c>
    </row>
    <row r="23" spans="1:4">
      <c r="A23">
        <f t="shared" si="0"/>
        <v>58</v>
      </c>
      <c r="B23" s="64">
        <v>0.6</v>
      </c>
      <c r="C23">
        <f t="shared" si="1"/>
        <v>53</v>
      </c>
      <c r="D23" s="64">
        <v>0.6</v>
      </c>
    </row>
    <row r="24" spans="1:4">
      <c r="A24">
        <f t="shared" si="0"/>
        <v>59</v>
      </c>
      <c r="B24" s="64">
        <v>0.65</v>
      </c>
      <c r="C24">
        <f t="shared" si="1"/>
        <v>54</v>
      </c>
      <c r="D24" s="64">
        <v>0.65</v>
      </c>
    </row>
    <row r="25" spans="1:4">
      <c r="A25">
        <f t="shared" si="0"/>
        <v>60</v>
      </c>
      <c r="B25" s="64">
        <v>0.7</v>
      </c>
      <c r="C25">
        <f t="shared" si="1"/>
        <v>55</v>
      </c>
      <c r="D25" s="64">
        <v>0.7</v>
      </c>
    </row>
    <row r="26" spans="1:4">
      <c r="A26">
        <f>+A27-1</f>
        <v>61</v>
      </c>
      <c r="B26" s="64">
        <v>0.85</v>
      </c>
      <c r="C26">
        <f>+C27-1</f>
        <v>56</v>
      </c>
      <c r="D26" s="64">
        <v>0.85</v>
      </c>
    </row>
    <row r="27" spans="1:4">
      <c r="A27" s="71">
        <v>62</v>
      </c>
      <c r="B27" s="64">
        <v>1</v>
      </c>
      <c r="C27">
        <v>57</v>
      </c>
      <c r="D27" s="64">
        <v>1</v>
      </c>
    </row>
    <row r="28" spans="1:4">
      <c r="A28">
        <f>+A27+1</f>
        <v>63</v>
      </c>
      <c r="B28" s="64">
        <v>1</v>
      </c>
      <c r="C28">
        <v>58</v>
      </c>
      <c r="D28" s="64">
        <v>1</v>
      </c>
    </row>
    <row r="29" spans="1:4">
      <c r="A29">
        <f t="shared" ref="A29:A32" si="2">+A28+1</f>
        <v>64</v>
      </c>
      <c r="B29" s="64">
        <v>1</v>
      </c>
      <c r="C29">
        <f>+C28+1</f>
        <v>59</v>
      </c>
      <c r="D29" s="64">
        <v>1</v>
      </c>
    </row>
    <row r="30" spans="1:4">
      <c r="A30">
        <f t="shared" si="2"/>
        <v>65</v>
      </c>
      <c r="B30" s="64">
        <v>1</v>
      </c>
      <c r="C30">
        <f t="shared" ref="C30:C32" si="3">+C29+1</f>
        <v>60</v>
      </c>
      <c r="D30" s="64">
        <v>1</v>
      </c>
    </row>
    <row r="31" spans="1:4">
      <c r="A31">
        <f t="shared" si="2"/>
        <v>66</v>
      </c>
      <c r="B31" s="64">
        <v>1</v>
      </c>
      <c r="C31">
        <f t="shared" si="3"/>
        <v>61</v>
      </c>
      <c r="D31" s="64">
        <v>1</v>
      </c>
    </row>
    <row r="32" spans="1:4">
      <c r="A32">
        <f t="shared" si="2"/>
        <v>67</v>
      </c>
      <c r="B32" s="64">
        <v>1</v>
      </c>
      <c r="C32">
        <f t="shared" si="3"/>
        <v>62</v>
      </c>
      <c r="D32" s="64">
        <v>1</v>
      </c>
    </row>
    <row r="35" spans="1:1">
      <c r="A35" s="71"/>
    </row>
  </sheetData>
  <mergeCells count="3">
    <mergeCell ref="B1:D1"/>
    <mergeCell ref="A2:D2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/>
  <dimension ref="A2:L67"/>
  <sheetViews>
    <sheetView workbookViewId="0">
      <selection activeCell="H17" sqref="H17"/>
    </sheetView>
  </sheetViews>
  <sheetFormatPr baseColWidth="10" defaultColWidth="11.5" defaultRowHeight="14.25"/>
  <cols>
    <col min="1" max="1" width="16.625" customWidth="1"/>
    <col min="2" max="2" width="11.5" bestFit="1" customWidth="1"/>
    <col min="3" max="3" width="13" bestFit="1" customWidth="1"/>
    <col min="4" max="4" width="13.5" bestFit="1" customWidth="1"/>
    <col min="5" max="5" width="4.5" style="1" customWidth="1"/>
    <col min="6" max="6" width="16.5" bestFit="1" customWidth="1"/>
    <col min="8" max="8" width="12.625" bestFit="1" customWidth="1"/>
    <col min="9" max="9" width="13.5" bestFit="1" customWidth="1"/>
    <col min="10" max="10" width="2.125" style="1" customWidth="1"/>
    <col min="11" max="11" width="16.5" bestFit="1" customWidth="1"/>
    <col min="12" max="12" width="13.5" bestFit="1" customWidth="1"/>
  </cols>
  <sheetData>
    <row r="2" spans="1:12" ht="18">
      <c r="A2" s="270" t="s">
        <v>1</v>
      </c>
      <c r="B2" s="270"/>
      <c r="C2" s="270"/>
      <c r="D2" s="270"/>
      <c r="F2" s="270" t="s">
        <v>1</v>
      </c>
      <c r="G2" s="270"/>
      <c r="H2" s="270"/>
      <c r="I2" s="270"/>
    </row>
    <row r="3" spans="1:12" ht="18">
      <c r="A3" s="270" t="s">
        <v>2</v>
      </c>
      <c r="B3" s="270"/>
      <c r="C3" s="270"/>
      <c r="D3" s="270"/>
      <c r="F3" s="277" t="s">
        <v>3</v>
      </c>
      <c r="G3" s="277"/>
      <c r="H3" s="277"/>
      <c r="I3" s="277"/>
    </row>
    <row r="4" spans="1:12" ht="15.75">
      <c r="A4" s="282" t="s">
        <v>4</v>
      </c>
      <c r="B4" s="282"/>
      <c r="C4" s="282"/>
      <c r="D4" s="282"/>
      <c r="F4" s="283" t="s">
        <v>4</v>
      </c>
      <c r="G4" s="283"/>
      <c r="H4" s="283"/>
      <c r="I4" s="283"/>
    </row>
    <row r="5" spans="1:12" ht="15.75">
      <c r="A5" s="282" t="s">
        <v>5</v>
      </c>
      <c r="B5" s="282"/>
      <c r="C5" s="282"/>
      <c r="D5" s="282"/>
      <c r="F5" s="283" t="s">
        <v>5</v>
      </c>
      <c r="G5" s="283"/>
      <c r="H5" s="283"/>
      <c r="I5" s="283"/>
    </row>
    <row r="6" spans="1:12" ht="16.5" thickBot="1">
      <c r="A6" s="278" t="s">
        <v>6</v>
      </c>
      <c r="B6" s="278"/>
      <c r="C6" s="278"/>
      <c r="D6" s="278"/>
      <c r="F6" s="279" t="s">
        <v>6</v>
      </c>
      <c r="G6" s="279"/>
      <c r="H6" s="279"/>
      <c r="I6" s="279"/>
    </row>
    <row r="7" spans="1:12" ht="15" thickTop="1">
      <c r="A7" s="280"/>
      <c r="B7" s="280"/>
      <c r="C7" s="280"/>
      <c r="D7" s="280"/>
      <c r="F7" s="281"/>
      <c r="G7" s="281"/>
      <c r="H7" s="281"/>
      <c r="I7" s="281"/>
    </row>
    <row r="8" spans="1:12">
      <c r="A8" s="286" t="s">
        <v>7</v>
      </c>
      <c r="B8" s="286"/>
      <c r="C8" s="286"/>
      <c r="D8" s="286"/>
      <c r="F8" s="287" t="s">
        <v>8</v>
      </c>
      <c r="G8" s="287"/>
      <c r="H8" s="287"/>
      <c r="I8" s="287"/>
    </row>
    <row r="9" spans="1:12">
      <c r="A9" s="286" t="s">
        <v>9</v>
      </c>
      <c r="B9" s="286"/>
      <c r="C9" s="286"/>
      <c r="D9" s="286"/>
      <c r="F9" s="287" t="s">
        <v>10</v>
      </c>
      <c r="G9" s="287"/>
      <c r="H9" s="287"/>
      <c r="I9" s="287"/>
    </row>
    <row r="10" spans="1:12">
      <c r="A10" s="286" t="s">
        <v>11</v>
      </c>
      <c r="B10" s="286"/>
      <c r="C10" s="286"/>
      <c r="D10" s="286"/>
      <c r="F10" s="287" t="s">
        <v>12</v>
      </c>
      <c r="G10" s="287"/>
      <c r="H10" s="287"/>
      <c r="I10" s="287"/>
    </row>
    <row r="11" spans="1:12">
      <c r="A11" s="2"/>
      <c r="B11" s="2"/>
      <c r="C11" s="2"/>
      <c r="D11" s="2"/>
      <c r="F11" s="3"/>
      <c r="G11" s="3"/>
      <c r="H11" s="3"/>
      <c r="I11" s="3"/>
    </row>
    <row r="12" spans="1:12" ht="15.75" thickBot="1">
      <c r="B12" s="284" t="s">
        <v>13</v>
      </c>
      <c r="C12" s="284"/>
      <c r="D12" s="284"/>
      <c r="G12" s="285" t="s">
        <v>13</v>
      </c>
      <c r="H12" s="285"/>
      <c r="I12" s="285"/>
      <c r="L12" s="18">
        <v>1</v>
      </c>
    </row>
    <row r="13" spans="1:12">
      <c r="A13">
        <v>1</v>
      </c>
      <c r="B13" s="2">
        <v>2</v>
      </c>
      <c r="C13">
        <v>3</v>
      </c>
      <c r="D13" s="2">
        <v>4</v>
      </c>
      <c r="E13">
        <v>5</v>
      </c>
      <c r="F13" s="2">
        <v>6</v>
      </c>
      <c r="G13">
        <v>7</v>
      </c>
      <c r="H13" s="2">
        <v>8</v>
      </c>
      <c r="I13">
        <v>9</v>
      </c>
    </row>
    <row r="14" spans="1:12">
      <c r="A14" s="5" t="s">
        <v>14</v>
      </c>
      <c r="D14" s="2" t="s">
        <v>15</v>
      </c>
      <c r="F14" s="5" t="s">
        <v>14</v>
      </c>
      <c r="G14" s="6"/>
      <c r="H14" s="6"/>
      <c r="I14" s="3" t="s">
        <v>15</v>
      </c>
      <c r="L14" s="2" t="s">
        <v>15</v>
      </c>
    </row>
    <row r="15" spans="1:12">
      <c r="B15" s="2"/>
      <c r="C15" s="2" t="s">
        <v>16</v>
      </c>
      <c r="D15" s="2" t="s">
        <v>17</v>
      </c>
      <c r="F15" s="6"/>
      <c r="G15" s="3"/>
      <c r="H15" s="3" t="s">
        <v>16</v>
      </c>
      <c r="I15" s="3" t="s">
        <v>17</v>
      </c>
      <c r="L15" s="2" t="s">
        <v>17</v>
      </c>
    </row>
    <row r="16" spans="1:12">
      <c r="A16" s="2" t="s">
        <v>18</v>
      </c>
      <c r="B16" s="2"/>
      <c r="C16" s="2" t="s">
        <v>19</v>
      </c>
      <c r="D16" s="2" t="s">
        <v>20</v>
      </c>
      <c r="F16" s="3" t="s">
        <v>18</v>
      </c>
      <c r="G16" s="3"/>
      <c r="H16" s="3" t="s">
        <v>19</v>
      </c>
      <c r="I16" s="3" t="s">
        <v>20</v>
      </c>
      <c r="K16" s="3" t="s">
        <v>18</v>
      </c>
      <c r="L16" s="2" t="s">
        <v>20</v>
      </c>
    </row>
    <row r="17" spans="1:12">
      <c r="A17" s="2" t="s">
        <v>21</v>
      </c>
      <c r="B17" s="2"/>
      <c r="C17" s="2" t="s">
        <v>22</v>
      </c>
      <c r="D17" s="2" t="s">
        <v>21</v>
      </c>
      <c r="F17" s="3" t="s">
        <v>21</v>
      </c>
      <c r="G17" s="3"/>
      <c r="H17" s="3" t="s">
        <v>22</v>
      </c>
      <c r="I17" s="3" t="s">
        <v>21</v>
      </c>
      <c r="K17" s="3" t="s">
        <v>21</v>
      </c>
      <c r="L17" s="2" t="s">
        <v>21</v>
      </c>
    </row>
    <row r="18" spans="1:12">
      <c r="A18" s="2" t="s">
        <v>23</v>
      </c>
      <c r="B18" s="2" t="s">
        <v>16</v>
      </c>
      <c r="C18" s="2" t="s">
        <v>24</v>
      </c>
      <c r="D18" s="2" t="s">
        <v>25</v>
      </c>
      <c r="F18" s="3" t="s">
        <v>23</v>
      </c>
      <c r="G18" s="3" t="s">
        <v>16</v>
      </c>
      <c r="H18" s="3" t="s">
        <v>24</v>
      </c>
      <c r="I18" s="3" t="s">
        <v>25</v>
      </c>
      <c r="K18" s="3" t="s">
        <v>23</v>
      </c>
      <c r="L18" s="2" t="s">
        <v>25</v>
      </c>
    </row>
    <row r="19" spans="1:12">
      <c r="A19" s="4" t="s">
        <v>26</v>
      </c>
      <c r="B19" s="4" t="s">
        <v>19</v>
      </c>
      <c r="C19" s="4" t="s">
        <v>27</v>
      </c>
      <c r="D19" s="4" t="s">
        <v>28</v>
      </c>
      <c r="F19" s="7" t="s">
        <v>26</v>
      </c>
      <c r="G19" s="7" t="s">
        <v>19</v>
      </c>
      <c r="H19" s="7" t="s">
        <v>27</v>
      </c>
      <c r="I19" s="7" t="s">
        <v>28</v>
      </c>
      <c r="K19" s="7" t="s">
        <v>26</v>
      </c>
      <c r="L19" s="4" t="s">
        <v>28</v>
      </c>
    </row>
    <row r="20" spans="1:12" ht="15">
      <c r="A20" s="8">
        <v>35</v>
      </c>
      <c r="B20" s="9">
        <v>4.0970163492392837</v>
      </c>
      <c r="C20" s="9">
        <v>4.0863375869737153</v>
      </c>
      <c r="D20" s="9">
        <v>3.8712685606767923</v>
      </c>
      <c r="F20" s="10">
        <v>35</v>
      </c>
      <c r="G20" s="9">
        <v>3.9115118986873116</v>
      </c>
      <c r="H20" s="9">
        <v>3.907740744662096</v>
      </c>
      <c r="I20" s="9">
        <v>3.8158496677535703</v>
      </c>
      <c r="K20" s="17">
        <f>+F20</f>
        <v>35</v>
      </c>
      <c r="L20" s="13">
        <f>+((D20+I20)/2)*$L$12</f>
        <v>3.8435591142151813</v>
      </c>
    </row>
    <row r="21" spans="1:12" ht="15">
      <c r="A21" s="8">
        <v>36</v>
      </c>
      <c r="B21" s="9">
        <v>4.1309139540463953</v>
      </c>
      <c r="C21" s="9">
        <v>4.119582120669576</v>
      </c>
      <c r="D21" s="9">
        <v>3.8962378025436615</v>
      </c>
      <c r="F21" s="10">
        <v>36</v>
      </c>
      <c r="G21" s="9">
        <v>3.938599985353906</v>
      </c>
      <c r="H21" s="9">
        <v>3.9341778273666508</v>
      </c>
      <c r="I21" s="9">
        <v>3.8394198564769439</v>
      </c>
      <c r="K21" s="17">
        <f t="shared" ref="K21:K65" si="0">+F21</f>
        <v>36</v>
      </c>
      <c r="L21" s="13">
        <f t="shared" ref="L21:L65" si="1">+((D21+I21)/2)*$L$12</f>
        <v>3.8678288295103025</v>
      </c>
    </row>
    <row r="22" spans="1:12" ht="15">
      <c r="A22" s="8">
        <v>37</v>
      </c>
      <c r="B22" s="9">
        <v>4.1667203611545958</v>
      </c>
      <c r="C22" s="9">
        <v>4.1546108503087673</v>
      </c>
      <c r="D22" s="9">
        <v>3.9225020186670196</v>
      </c>
      <c r="F22" s="10">
        <v>37</v>
      </c>
      <c r="G22" s="9">
        <v>3.9669271239041626</v>
      </c>
      <c r="H22" s="9">
        <v>3.9617758317390859</v>
      </c>
      <c r="I22" s="9">
        <v>3.8640924459139199</v>
      </c>
      <c r="K22" s="17">
        <f t="shared" si="0"/>
        <v>37</v>
      </c>
      <c r="L22" s="13">
        <f t="shared" si="1"/>
        <v>3.89329723229047</v>
      </c>
    </row>
    <row r="23" spans="1:12" ht="15">
      <c r="A23" s="8">
        <v>38</v>
      </c>
      <c r="B23" s="9">
        <v>4.204670847985553</v>
      </c>
      <c r="C23" s="9">
        <v>4.191585301639674</v>
      </c>
      <c r="D23" s="9">
        <v>3.9501897838688023</v>
      </c>
      <c r="F23" s="10">
        <v>38</v>
      </c>
      <c r="G23" s="9">
        <v>3.996558401798318</v>
      </c>
      <c r="H23" s="9">
        <v>3.9905850426156619</v>
      </c>
      <c r="I23" s="9">
        <v>3.8899265714968556</v>
      </c>
      <c r="K23" s="17">
        <f t="shared" si="0"/>
        <v>38</v>
      </c>
      <c r="L23" s="13">
        <f t="shared" si="1"/>
        <v>3.9200581776828289</v>
      </c>
    </row>
    <row r="24" spans="1:12" ht="15">
      <c r="A24" s="8">
        <v>39</v>
      </c>
      <c r="B24" s="9">
        <v>4.2445661646281119</v>
      </c>
      <c r="C24" s="9">
        <v>4.2304107358260552</v>
      </c>
      <c r="D24" s="9">
        <v>3.9792280689109538</v>
      </c>
      <c r="F24" s="10">
        <v>39</v>
      </c>
      <c r="G24" s="9">
        <v>4.0275564045803378</v>
      </c>
      <c r="H24" s="9">
        <v>4.0206544068074965</v>
      </c>
      <c r="I24" s="9">
        <v>3.916980574492881</v>
      </c>
      <c r="K24" s="17">
        <f t="shared" si="0"/>
        <v>39</v>
      </c>
      <c r="L24" s="13">
        <f t="shared" si="1"/>
        <v>3.9481043217019174</v>
      </c>
    </row>
    <row r="25" spans="1:12" ht="15">
      <c r="A25" s="8">
        <v>40</v>
      </c>
      <c r="B25" s="9">
        <v>4.2866470078530012</v>
      </c>
      <c r="C25" s="9">
        <v>4.2712470587177895</v>
      </c>
      <c r="D25" s="9">
        <v>4.0097498252518315</v>
      </c>
      <c r="F25" s="10">
        <v>40</v>
      </c>
      <c r="G25" s="9">
        <v>4.0600060035552916</v>
      </c>
      <c r="H25" s="9">
        <v>4.0520469197971964</v>
      </c>
      <c r="I25" s="9">
        <v>3.9453285891774388</v>
      </c>
      <c r="K25" s="17">
        <f t="shared" si="0"/>
        <v>40</v>
      </c>
      <c r="L25" s="13">
        <f t="shared" si="1"/>
        <v>3.9775392072146349</v>
      </c>
    </row>
    <row r="26" spans="1:12" ht="15">
      <c r="A26" s="8">
        <v>41</v>
      </c>
      <c r="B26" s="9">
        <v>4.3310578930039378</v>
      </c>
      <c r="C26" s="9">
        <v>4.3141885214129978</v>
      </c>
      <c r="D26" s="9">
        <v>4.0418435142117053</v>
      </c>
      <c r="F26" s="10">
        <v>41</v>
      </c>
      <c r="G26" s="9">
        <v>4.09401231623435</v>
      </c>
      <c r="H26" s="9">
        <v>4.0848378585967424</v>
      </c>
      <c r="I26" s="9">
        <v>3.9750557497747012</v>
      </c>
      <c r="K26" s="17">
        <f t="shared" si="0"/>
        <v>41</v>
      </c>
      <c r="L26" s="13">
        <f t="shared" si="1"/>
        <v>4.0084496319932033</v>
      </c>
    </row>
    <row r="27" spans="1:12" ht="15">
      <c r="A27" s="8">
        <v>42</v>
      </c>
      <c r="B27" s="9">
        <v>4.3779135880712392</v>
      </c>
      <c r="C27" s="9">
        <v>4.3593060929040579</v>
      </c>
      <c r="D27" s="9">
        <v>4.0755843487242887</v>
      </c>
      <c r="F27" s="10">
        <v>42</v>
      </c>
      <c r="G27" s="9">
        <v>4.1296520031081423</v>
      </c>
      <c r="H27" s="9">
        <v>4.1190855630628702</v>
      </c>
      <c r="I27" s="9">
        <v>4.0062331907046218</v>
      </c>
      <c r="K27" s="17">
        <f t="shared" si="0"/>
        <v>42</v>
      </c>
      <c r="L27" s="13">
        <f t="shared" si="1"/>
        <v>4.0409087697144557</v>
      </c>
    </row>
    <row r="28" spans="1:12" ht="15">
      <c r="A28" s="8">
        <v>43</v>
      </c>
      <c r="B28" s="9">
        <v>4.4274323829631896</v>
      </c>
      <c r="C28" s="9">
        <v>4.4067238411206828</v>
      </c>
      <c r="D28" s="9">
        <v>4.111097339694032</v>
      </c>
      <c r="F28" s="10">
        <v>43</v>
      </c>
      <c r="G28" s="9">
        <v>4.1669877215181588</v>
      </c>
      <c r="H28" s="9">
        <v>4.1548406519344008</v>
      </c>
      <c r="I28" s="9">
        <v>4.0389274147753653</v>
      </c>
      <c r="K28" s="17">
        <f t="shared" si="0"/>
        <v>43</v>
      </c>
      <c r="L28" s="13">
        <f t="shared" si="1"/>
        <v>4.0750123772346987</v>
      </c>
    </row>
    <row r="29" spans="1:12" ht="15">
      <c r="A29" s="8">
        <v>44</v>
      </c>
      <c r="B29" s="9">
        <v>4.4797779522316858</v>
      </c>
      <c r="C29" s="9">
        <v>4.4565243293872641</v>
      </c>
      <c r="D29" s="9">
        <v>4.1484842961514579</v>
      </c>
      <c r="F29" s="10">
        <v>44</v>
      </c>
      <c r="G29" s="9">
        <v>4.206049556739476</v>
      </c>
      <c r="H29" s="9">
        <v>4.1921359743702347</v>
      </c>
      <c r="I29" s="9">
        <v>4.0731869925443043</v>
      </c>
      <c r="K29" s="17">
        <f t="shared" si="0"/>
        <v>44</v>
      </c>
      <c r="L29" s="13">
        <f t="shared" si="1"/>
        <v>4.1108356443478815</v>
      </c>
    </row>
    <row r="30" spans="1:12" ht="15">
      <c r="A30" s="8">
        <v>45</v>
      </c>
      <c r="B30" s="9">
        <v>4.5351092050903956</v>
      </c>
      <c r="C30" s="9">
        <v>4.5087778565313581</v>
      </c>
      <c r="D30" s="9">
        <v>4.1878434948545502</v>
      </c>
      <c r="F30" s="10">
        <v>45</v>
      </c>
      <c r="G30" s="9">
        <v>4.2468621902417025</v>
      </c>
      <c r="H30" s="9">
        <v>4.2310053161990773</v>
      </c>
      <c r="I30" s="9">
        <v>4.1090568129781504</v>
      </c>
      <c r="K30" s="17">
        <f t="shared" si="0"/>
        <v>45</v>
      </c>
      <c r="L30" s="13">
        <f t="shared" si="1"/>
        <v>4.1484501539163503</v>
      </c>
    </row>
    <row r="31" spans="1:12" ht="15">
      <c r="A31" s="8">
        <v>46</v>
      </c>
      <c r="B31" s="9">
        <v>4.593641304025553</v>
      </c>
      <c r="C31" s="9">
        <v>4.5635815427684454</v>
      </c>
      <c r="D31" s="9">
        <v>4.2292982710087328</v>
      </c>
      <c r="F31" s="10">
        <v>46</v>
      </c>
      <c r="G31" s="9">
        <v>4.2894706688863948</v>
      </c>
      <c r="H31" s="9">
        <v>4.2715010874757011</v>
      </c>
      <c r="I31" s="9">
        <v>4.146592097042209</v>
      </c>
      <c r="K31" s="17">
        <f t="shared" si="0"/>
        <v>46</v>
      </c>
      <c r="L31" s="13">
        <f t="shared" si="1"/>
        <v>4.1879451840254713</v>
      </c>
    </row>
    <row r="32" spans="1:12" ht="15">
      <c r="A32" s="8">
        <v>47</v>
      </c>
      <c r="B32" s="9">
        <v>4.6555236593593241</v>
      </c>
      <c r="C32" s="9">
        <v>4.6209879076796385</v>
      </c>
      <c r="D32" s="9">
        <v>4.2729397929958326</v>
      </c>
      <c r="F32" s="10">
        <v>47</v>
      </c>
      <c r="G32" s="9">
        <v>4.3339514028049697</v>
      </c>
      <c r="H32" s="9">
        <v>4.3136982364138197</v>
      </c>
      <c r="I32" s="9">
        <v>4.1858665385110116</v>
      </c>
      <c r="K32" s="17">
        <f t="shared" si="0"/>
        <v>47</v>
      </c>
      <c r="L32" s="13">
        <f t="shared" si="1"/>
        <v>4.2294031657534221</v>
      </c>
    </row>
    <row r="33" spans="1:12" ht="15">
      <c r="A33" s="8">
        <v>48</v>
      </c>
      <c r="B33" s="9">
        <v>4.7208267507245152</v>
      </c>
      <c r="C33" s="9">
        <v>4.6809974123035341</v>
      </c>
      <c r="D33" s="9">
        <v>4.3188238683307496</v>
      </c>
      <c r="F33" s="10">
        <v>48</v>
      </c>
      <c r="G33" s="9">
        <v>4.3803975765706546</v>
      </c>
      <c r="H33" s="9">
        <v>4.3576792685335963</v>
      </c>
      <c r="I33" s="9">
        <v>4.2269669289707448</v>
      </c>
      <c r="K33" s="17">
        <f t="shared" si="0"/>
        <v>48</v>
      </c>
      <c r="L33" s="13">
        <f t="shared" si="1"/>
        <v>4.2728953986507472</v>
      </c>
    </row>
    <row r="34" spans="1:12" ht="15">
      <c r="A34" s="8">
        <v>49</v>
      </c>
      <c r="B34" s="9">
        <v>4.7895412938224737</v>
      </c>
      <c r="C34" s="9">
        <v>4.7435576770806147</v>
      </c>
      <c r="D34" s="9">
        <v>4.3669738487610958</v>
      </c>
      <c r="F34" s="10">
        <v>49</v>
      </c>
      <c r="G34" s="9">
        <v>4.4289347004440822</v>
      </c>
      <c r="H34" s="9">
        <v>4.4035540490807277</v>
      </c>
      <c r="I34" s="9">
        <v>4.2700003704925722</v>
      </c>
      <c r="K34" s="17">
        <f t="shared" si="0"/>
        <v>49</v>
      </c>
      <c r="L34" s="13">
        <f t="shared" si="1"/>
        <v>4.318487109626834</v>
      </c>
    </row>
    <row r="35" spans="1:12" ht="15">
      <c r="A35" s="8">
        <v>50</v>
      </c>
      <c r="B35" s="9">
        <v>4.8616469474989321</v>
      </c>
      <c r="C35" s="9">
        <v>4.8086025921094704</v>
      </c>
      <c r="D35" s="9">
        <v>4.4174136814226221</v>
      </c>
      <c r="F35" s="10">
        <v>50</v>
      </c>
      <c r="G35" s="9">
        <v>4.4797151644032001</v>
      </c>
      <c r="H35" s="9">
        <v>4.4514510637276734</v>
      </c>
      <c r="I35" s="9">
        <v>4.315096120010538</v>
      </c>
      <c r="K35" s="17">
        <f t="shared" si="0"/>
        <v>50</v>
      </c>
      <c r="L35" s="13">
        <f t="shared" si="1"/>
        <v>4.3662549007165801</v>
      </c>
    </row>
    <row r="36" spans="1:12" ht="15">
      <c r="A36" s="8">
        <v>51</v>
      </c>
      <c r="B36" s="9">
        <v>4.9371915806650932</v>
      </c>
      <c r="C36" s="9">
        <v>4.8760963562001773</v>
      </c>
      <c r="D36" s="9">
        <v>4.4702025027453818</v>
      </c>
      <c r="F36" s="10">
        <v>51</v>
      </c>
      <c r="G36" s="9">
        <v>4.5328982113352811</v>
      </c>
      <c r="H36" s="9">
        <v>4.5014869427592794</v>
      </c>
      <c r="I36" s="9">
        <v>4.3623776290871312</v>
      </c>
      <c r="K36" s="17">
        <f t="shared" si="0"/>
        <v>51</v>
      </c>
      <c r="L36" s="13">
        <f t="shared" si="1"/>
        <v>4.4162900659162565</v>
      </c>
    </row>
    <row r="37" spans="1:12" ht="15">
      <c r="A37" s="8">
        <v>52</v>
      </c>
      <c r="B37" s="9">
        <v>5.0162332946564332</v>
      </c>
      <c r="C37" s="9">
        <v>4.9459976998368598</v>
      </c>
      <c r="D37" s="9">
        <v>4.5254103364761677</v>
      </c>
      <c r="F37" s="10">
        <v>52</v>
      </c>
      <c r="G37" s="9">
        <v>4.5886320485162386</v>
      </c>
      <c r="H37" s="9">
        <v>4.5537706288444086</v>
      </c>
      <c r="I37" s="9">
        <v>4.4119811844426602</v>
      </c>
      <c r="K37" s="17">
        <f t="shared" si="0"/>
        <v>52</v>
      </c>
      <c r="L37" s="13">
        <f t="shared" si="1"/>
        <v>4.468695760459414</v>
      </c>
    </row>
    <row r="38" spans="1:12" ht="15">
      <c r="A38" s="8">
        <v>53</v>
      </c>
      <c r="B38" s="9">
        <v>5.0989890583899902</v>
      </c>
      <c r="C38" s="9">
        <v>5.0183200744938503</v>
      </c>
      <c r="D38" s="9">
        <v>4.5831832674014876</v>
      </c>
      <c r="F38" s="10">
        <v>53</v>
      </c>
      <c r="G38" s="9">
        <v>4.6470574286412694</v>
      </c>
      <c r="H38" s="9">
        <v>4.6084060336889543</v>
      </c>
      <c r="I38" s="9">
        <v>4.4640383756110573</v>
      </c>
      <c r="K38" s="17">
        <f t="shared" si="0"/>
        <v>53</v>
      </c>
      <c r="L38" s="13">
        <f t="shared" si="1"/>
        <v>4.5236108215062725</v>
      </c>
    </row>
    <row r="39" spans="1:12" ht="15">
      <c r="A39" s="8">
        <v>54</v>
      </c>
      <c r="B39" s="9">
        <v>5.1852740011096685</v>
      </c>
      <c r="C39" s="9">
        <v>5.0931113764167337</v>
      </c>
      <c r="D39" s="9">
        <v>4.6434954960832808</v>
      </c>
      <c r="F39" s="10">
        <v>54</v>
      </c>
      <c r="G39" s="9">
        <v>4.7083213542153555</v>
      </c>
      <c r="H39" s="9">
        <v>4.6654997746884552</v>
      </c>
      <c r="I39" s="9">
        <v>4.5186842053290528</v>
      </c>
      <c r="K39" s="17">
        <f t="shared" si="0"/>
        <v>54</v>
      </c>
      <c r="L39" s="13">
        <f t="shared" si="1"/>
        <v>4.5810898507061673</v>
      </c>
    </row>
    <row r="40" spans="1:12">
      <c r="A40" s="11">
        <v>55</v>
      </c>
      <c r="B40" s="9">
        <v>5.2754159285559767</v>
      </c>
      <c r="C40" s="9">
        <v>5.1708032536461257</v>
      </c>
      <c r="D40" s="9">
        <v>4.7065497951756647</v>
      </c>
      <c r="F40" s="12">
        <v>55</v>
      </c>
      <c r="G40" s="9">
        <v>4.7727009028200689</v>
      </c>
      <c r="H40" s="9">
        <v>4.7252245147399954</v>
      </c>
      <c r="I40" s="9">
        <v>4.5761254681667527</v>
      </c>
      <c r="K40" s="17">
        <f t="shared" si="0"/>
        <v>55</v>
      </c>
      <c r="L40" s="13">
        <f t="shared" si="1"/>
        <v>4.6413376316712087</v>
      </c>
    </row>
    <row r="41" spans="1:12">
      <c r="A41" s="11">
        <v>56</v>
      </c>
      <c r="B41" s="9">
        <v>5.3696245078022136</v>
      </c>
      <c r="C41" s="9">
        <v>5.2515193425805471</v>
      </c>
      <c r="D41" s="9">
        <v>4.772499190376033</v>
      </c>
      <c r="F41" s="12">
        <v>56</v>
      </c>
      <c r="G41" s="9">
        <v>4.8405358054450156</v>
      </c>
      <c r="H41" s="9">
        <v>4.787776771200047</v>
      </c>
      <c r="I41" s="9">
        <v>4.6366032459526254</v>
      </c>
      <c r="K41" s="17">
        <f t="shared" si="0"/>
        <v>56</v>
      </c>
      <c r="L41" s="13">
        <f t="shared" si="1"/>
        <v>4.7045512181643296</v>
      </c>
    </row>
    <row r="42" spans="1:12">
      <c r="A42" s="11">
        <v>57</v>
      </c>
      <c r="B42" s="9">
        <v>5.4680000400787589</v>
      </c>
      <c r="C42" s="9">
        <v>5.335331072918903</v>
      </c>
      <c r="D42" s="9">
        <v>4.8414542031405796</v>
      </c>
      <c r="F42" s="12">
        <v>57</v>
      </c>
      <c r="G42" s="9">
        <v>4.9119992513725901</v>
      </c>
      <c r="H42" s="9">
        <v>4.853258175473198</v>
      </c>
      <c r="I42" s="9">
        <v>4.700274949909935</v>
      </c>
      <c r="K42" s="17">
        <f t="shared" si="0"/>
        <v>57</v>
      </c>
      <c r="L42" s="13">
        <f t="shared" si="1"/>
        <v>4.7708645765252573</v>
      </c>
    </row>
    <row r="43" spans="1:12">
      <c r="A43" s="11">
        <v>58</v>
      </c>
      <c r="B43" s="9">
        <v>5.570485652224364</v>
      </c>
      <c r="C43" s="9">
        <v>5.4222432792011706</v>
      </c>
      <c r="D43" s="9">
        <v>4.9134791852286783</v>
      </c>
      <c r="F43" s="12">
        <v>58</v>
      </c>
      <c r="G43" s="9">
        <v>4.987079990958402</v>
      </c>
      <c r="H43" s="9">
        <v>4.9216773983248059</v>
      </c>
      <c r="I43" s="9">
        <v>4.7672013361746961</v>
      </c>
      <c r="K43" s="17">
        <f t="shared" si="0"/>
        <v>58</v>
      </c>
      <c r="L43" s="13">
        <f t="shared" si="1"/>
        <v>4.8403402607016872</v>
      </c>
    </row>
    <row r="44" spans="1:12">
      <c r="A44" s="11">
        <v>59</v>
      </c>
      <c r="B44" s="9">
        <v>5.6768632168803137</v>
      </c>
      <c r="C44" s="9">
        <v>5.5122060463537164</v>
      </c>
      <c r="D44" s="9">
        <v>4.9885864204491499</v>
      </c>
      <c r="F44" s="12">
        <v>59</v>
      </c>
      <c r="G44" s="9">
        <v>5.0669327245952438</v>
      </c>
      <c r="H44" s="9">
        <v>4.9936170779644176</v>
      </c>
      <c r="I44" s="9">
        <v>4.8381011857490845</v>
      </c>
      <c r="K44" s="17">
        <f t="shared" si="0"/>
        <v>59</v>
      </c>
      <c r="L44" s="13">
        <f t="shared" si="1"/>
        <v>4.9133438030991172</v>
      </c>
    </row>
    <row r="45" spans="1:12">
      <c r="A45" s="11">
        <v>60</v>
      </c>
      <c r="B45" s="9">
        <v>5.7870864063954865</v>
      </c>
      <c r="C45" s="9">
        <v>5.6052678433870602</v>
      </c>
      <c r="D45" s="9">
        <v>5.0668513312158909</v>
      </c>
      <c r="F45" s="12">
        <v>60</v>
      </c>
      <c r="G45" s="9">
        <v>5.1509577582143979</v>
      </c>
      <c r="H45" s="9">
        <v>5.0687613440704613</v>
      </c>
      <c r="I45" s="9">
        <v>4.9126850527889543</v>
      </c>
      <c r="K45" s="17">
        <f t="shared" si="0"/>
        <v>60</v>
      </c>
      <c r="L45" s="13">
        <f t="shared" si="1"/>
        <v>4.9897681920024226</v>
      </c>
    </row>
    <row r="46" spans="1:12">
      <c r="A46" s="11">
        <v>61</v>
      </c>
      <c r="B46" s="9">
        <v>5.9011880317552823</v>
      </c>
      <c r="C46" s="9">
        <v>5.7015226472837721</v>
      </c>
      <c r="D46" s="9">
        <v>5.1483679163659719</v>
      </c>
      <c r="F46" s="12">
        <v>61</v>
      </c>
      <c r="G46" s="9">
        <v>5.2394138524310518</v>
      </c>
      <c r="H46" s="9">
        <v>5.1472421905951853</v>
      </c>
      <c r="I46" s="9">
        <v>4.9918770786910427</v>
      </c>
      <c r="K46" s="17">
        <f t="shared" si="0"/>
        <v>61</v>
      </c>
      <c r="L46" s="13">
        <f t="shared" si="1"/>
        <v>5.0701224975285069</v>
      </c>
    </row>
    <row r="47" spans="1:12">
      <c r="A47" s="11">
        <v>62</v>
      </c>
      <c r="B47" s="9">
        <v>6.0188975199843222</v>
      </c>
      <c r="C47" s="9">
        <v>5.8009509926356388</v>
      </c>
      <c r="D47" s="9">
        <v>5.2332643215786598</v>
      </c>
      <c r="F47" s="12">
        <v>62</v>
      </c>
      <c r="G47" s="9">
        <v>5.3325794210137234</v>
      </c>
      <c r="H47" s="9">
        <v>5.2291940718694114</v>
      </c>
      <c r="I47" s="9">
        <v>5.0753980469350415</v>
      </c>
      <c r="K47" s="17">
        <f t="shared" si="0"/>
        <v>62</v>
      </c>
      <c r="L47" s="13">
        <f t="shared" si="1"/>
        <v>5.1543311842568507</v>
      </c>
    </row>
    <row r="48" spans="1:12">
      <c r="A48" s="11">
        <v>63</v>
      </c>
      <c r="B48" s="9">
        <v>6.1395520096447029</v>
      </c>
      <c r="C48" s="9">
        <v>5.9034107960691857</v>
      </c>
      <c r="D48" s="9">
        <v>5.3212855608878726</v>
      </c>
      <c r="F48" s="12">
        <v>63</v>
      </c>
      <c r="G48" s="9">
        <v>5.4307543988750426</v>
      </c>
      <c r="H48" s="9">
        <v>5.3147527221720141</v>
      </c>
      <c r="I48" s="9">
        <v>5.1635318689615666</v>
      </c>
      <c r="K48" s="17">
        <f t="shared" si="0"/>
        <v>63</v>
      </c>
      <c r="L48" s="13">
        <f t="shared" si="1"/>
        <v>5.2424087149247196</v>
      </c>
    </row>
    <row r="49" spans="1:12">
      <c r="A49" s="11">
        <v>64</v>
      </c>
      <c r="B49" s="9">
        <v>6.2821128906533374</v>
      </c>
      <c r="C49" s="9">
        <v>6.0161657034089613</v>
      </c>
      <c r="D49" s="9">
        <v>5.4204661108132521</v>
      </c>
      <c r="F49" s="12">
        <v>64</v>
      </c>
      <c r="G49" s="9">
        <v>5.5342623211016493</v>
      </c>
      <c r="H49" s="9">
        <v>5.4040536049480554</v>
      </c>
      <c r="I49" s="9">
        <v>5.256581578701403</v>
      </c>
      <c r="K49" s="17">
        <f t="shared" si="0"/>
        <v>64</v>
      </c>
      <c r="L49" s="13">
        <f t="shared" si="1"/>
        <v>5.3385238447573276</v>
      </c>
    </row>
    <row r="50" spans="1:12">
      <c r="A50" s="11">
        <v>65</v>
      </c>
      <c r="B50" s="9">
        <v>6.4328290510043207</v>
      </c>
      <c r="C50" s="9">
        <v>6.1331747840799684</v>
      </c>
      <c r="D50" s="9">
        <v>5.5251083078141265</v>
      </c>
      <c r="F50" s="12">
        <v>65</v>
      </c>
      <c r="G50" s="9">
        <v>5.643452641262642</v>
      </c>
      <c r="H50" s="9">
        <v>5.4972323702714743</v>
      </c>
      <c r="I50" s="9">
        <v>5.354873808781905</v>
      </c>
      <c r="K50" s="17">
        <f t="shared" si="0"/>
        <v>65</v>
      </c>
      <c r="L50" s="13">
        <f t="shared" si="1"/>
        <v>5.4399910582980162</v>
      </c>
    </row>
    <row r="51" spans="1:12">
      <c r="A51" s="11">
        <v>66</v>
      </c>
      <c r="B51" s="9">
        <v>6.5923248774403653</v>
      </c>
      <c r="C51" s="9">
        <v>6.2544903677647561</v>
      </c>
      <c r="D51" s="9">
        <v>5.6355989862846547</v>
      </c>
      <c r="F51" s="12">
        <v>66</v>
      </c>
      <c r="G51" s="9">
        <v>5.758703395107962</v>
      </c>
      <c r="H51" s="9">
        <v>5.5944234595741582</v>
      </c>
      <c r="I51" s="9">
        <v>5.4587671003070479</v>
      </c>
      <c r="K51" s="17">
        <f t="shared" si="0"/>
        <v>66</v>
      </c>
      <c r="L51" s="13">
        <f t="shared" si="1"/>
        <v>5.5471830432958509</v>
      </c>
    </row>
    <row r="52" spans="1:12">
      <c r="A52" s="11">
        <v>67</v>
      </c>
      <c r="B52" s="9">
        <v>6.7611862015751036</v>
      </c>
      <c r="C52" s="9">
        <v>6.3801032890851666</v>
      </c>
      <c r="D52" s="9">
        <v>5.7523185683109785</v>
      </c>
      <c r="F52" s="12">
        <v>67</v>
      </c>
      <c r="G52" s="9">
        <v>5.8804241574162308</v>
      </c>
      <c r="H52" s="9">
        <v>5.6957569811826438</v>
      </c>
      <c r="I52" s="9">
        <v>5.5686468378865452</v>
      </c>
      <c r="K52" s="17">
        <f t="shared" si="0"/>
        <v>67</v>
      </c>
      <c r="L52" s="13">
        <f t="shared" si="1"/>
        <v>5.6604827030987614</v>
      </c>
    </row>
    <row r="53" spans="1:12">
      <c r="A53" s="11">
        <v>68</v>
      </c>
      <c r="B53" s="9">
        <v>6.9400225422232023</v>
      </c>
      <c r="C53" s="9">
        <v>6.5097171426834253</v>
      </c>
      <c r="D53" s="9">
        <v>5.8756686992836933</v>
      </c>
      <c r="F53" s="12">
        <v>68</v>
      </c>
      <c r="G53" s="9">
        <v>6.0090594446562626</v>
      </c>
      <c r="H53" s="9">
        <v>5.8013586665110974</v>
      </c>
      <c r="I53" s="9">
        <v>5.6849311683071981</v>
      </c>
      <c r="K53" s="17">
        <f t="shared" si="0"/>
        <v>68</v>
      </c>
      <c r="L53" s="13">
        <f t="shared" si="1"/>
        <v>5.7802999337954457</v>
      </c>
    </row>
    <row r="54" spans="1:12">
      <c r="A54" s="11">
        <v>69</v>
      </c>
      <c r="B54" s="9">
        <v>7.1296208885115817</v>
      </c>
      <c r="C54" s="9">
        <v>6.6431855747231365</v>
      </c>
      <c r="D54" s="9">
        <v>6.0061357004730089</v>
      </c>
      <c r="F54" s="12">
        <v>69</v>
      </c>
      <c r="G54" s="9">
        <v>6.145092594401973</v>
      </c>
      <c r="H54" s="9">
        <v>5.9113484660129076</v>
      </c>
      <c r="I54" s="9">
        <v>5.8080748518313516</v>
      </c>
      <c r="K54" s="17">
        <f t="shared" si="0"/>
        <v>69</v>
      </c>
      <c r="L54" s="13">
        <f t="shared" si="1"/>
        <v>5.9071052761521798</v>
      </c>
    </row>
    <row r="55" spans="1:12">
      <c r="A55" s="11">
        <v>70</v>
      </c>
      <c r="B55" s="9">
        <v>7.3307524670331237</v>
      </c>
      <c r="C55" s="9">
        <v>6.7806783383322395</v>
      </c>
      <c r="D55" s="9">
        <v>6.1442127156602773</v>
      </c>
      <c r="F55" s="12">
        <v>70</v>
      </c>
      <c r="G55" s="9">
        <v>6.2890502249246518</v>
      </c>
      <c r="H55" s="9">
        <v>6.0258368857533275</v>
      </c>
      <c r="I55" s="9">
        <v>5.9385771296237602</v>
      </c>
      <c r="K55" s="17">
        <f t="shared" si="0"/>
        <v>70</v>
      </c>
      <c r="L55" s="13">
        <f t="shared" si="1"/>
        <v>6.0413949226420183</v>
      </c>
    </row>
    <row r="56" spans="1:12">
      <c r="A56" s="11">
        <v>71</v>
      </c>
      <c r="B56" s="9">
        <v>7.544245179639133</v>
      </c>
      <c r="C56" s="9">
        <v>6.9220244759552632</v>
      </c>
      <c r="D56" s="9">
        <v>6.2904313442405559</v>
      </c>
      <c r="F56" s="12">
        <v>71</v>
      </c>
      <c r="G56" s="9">
        <v>6.4415073713740592</v>
      </c>
      <c r="H56" s="9">
        <v>6.1449241626400664</v>
      </c>
      <c r="I56" s="9">
        <v>6.0769805272235731</v>
      </c>
      <c r="K56" s="17">
        <f t="shared" si="0"/>
        <v>71</v>
      </c>
      <c r="L56" s="13">
        <f t="shared" si="1"/>
        <v>6.1837059357320641</v>
      </c>
    </row>
    <row r="57" spans="1:12">
      <c r="A57" s="11">
        <v>72</v>
      </c>
      <c r="B57" s="9">
        <v>7.7709937860102825</v>
      </c>
      <c r="C57" s="9">
        <v>7.0669995034424229</v>
      </c>
      <c r="D57" s="9">
        <v>6.4453677310503723</v>
      </c>
      <c r="F57" s="12">
        <v>72</v>
      </c>
      <c r="G57" s="9">
        <v>6.6031242653637801</v>
      </c>
      <c r="H57" s="9">
        <v>6.2687077789995937</v>
      </c>
      <c r="I57" s="9">
        <v>6.2239019357410328</v>
      </c>
      <c r="K57" s="17">
        <f t="shared" si="0"/>
        <v>72</v>
      </c>
      <c r="L57" s="13">
        <f t="shared" si="1"/>
        <v>6.3346348333957021</v>
      </c>
    </row>
    <row r="58" spans="1:12">
      <c r="A58" s="11">
        <v>73</v>
      </c>
      <c r="B58" s="9">
        <v>8.0120582699244132</v>
      </c>
      <c r="C58" s="9">
        <v>7.2153433930453712</v>
      </c>
      <c r="D58" s="9">
        <v>6.6096832447090481</v>
      </c>
      <c r="F58" s="12">
        <v>73</v>
      </c>
      <c r="G58" s="9">
        <v>6.7745461382171372</v>
      </c>
      <c r="H58" s="9">
        <v>6.3972401682541333</v>
      </c>
      <c r="I58" s="9">
        <v>6.3799650264281746</v>
      </c>
      <c r="K58" s="17">
        <f t="shared" si="0"/>
        <v>73</v>
      </c>
      <c r="L58" s="13">
        <f t="shared" si="1"/>
        <v>6.4948241355686118</v>
      </c>
    </row>
    <row r="59" spans="1:12">
      <c r="A59" s="11">
        <v>74</v>
      </c>
      <c r="B59" s="9">
        <v>8.2685259398788276</v>
      </c>
      <c r="C59" s="9">
        <v>7.3667128346468704</v>
      </c>
      <c r="D59" s="9">
        <v>6.7840721046635757</v>
      </c>
      <c r="F59" s="12">
        <v>74</v>
      </c>
      <c r="G59" s="9">
        <v>6.956532237678096</v>
      </c>
      <c r="H59" s="9">
        <v>6.5305714281607194</v>
      </c>
      <c r="I59" s="9">
        <v>6.5458875990908201</v>
      </c>
      <c r="K59" s="17">
        <f t="shared" si="0"/>
        <v>74</v>
      </c>
      <c r="L59" s="13">
        <f t="shared" si="1"/>
        <v>6.6649798518771979</v>
      </c>
    </row>
    <row r="60" spans="1:12">
      <c r="A60" s="11">
        <v>75</v>
      </c>
      <c r="B60" s="9">
        <v>8.5416956851876602</v>
      </c>
      <c r="C60" s="9">
        <v>7.5206911775854666</v>
      </c>
      <c r="D60" s="9">
        <v>6.9693420621366187</v>
      </c>
      <c r="F60" s="12">
        <v>75</v>
      </c>
      <c r="G60" s="9">
        <v>7.1499751231009832</v>
      </c>
      <c r="H60" s="9">
        <v>6.6687456792610105</v>
      </c>
      <c r="I60" s="9">
        <v>6.7216655819583888</v>
      </c>
      <c r="K60" s="17">
        <f t="shared" si="0"/>
        <v>75</v>
      </c>
      <c r="L60" s="13">
        <f t="shared" si="1"/>
        <v>6.8455038220475037</v>
      </c>
    </row>
    <row r="61" spans="1:12">
      <c r="A61" s="11">
        <v>76</v>
      </c>
      <c r="B61" s="9">
        <v>8.8328454547548141</v>
      </c>
      <c r="C61" s="9">
        <v>7.6767426419431635</v>
      </c>
      <c r="D61" s="9">
        <v>7.1663068910939627</v>
      </c>
      <c r="F61" s="12">
        <v>76</v>
      </c>
      <c r="G61" s="9">
        <v>7.3557741088034092</v>
      </c>
      <c r="H61" s="9">
        <v>6.8117546997817362</v>
      </c>
      <c r="I61" s="9">
        <v>6.909812009213236</v>
      </c>
      <c r="K61" s="17">
        <f t="shared" si="0"/>
        <v>76</v>
      </c>
      <c r="L61" s="13">
        <f t="shared" si="1"/>
        <v>7.0380594501535994</v>
      </c>
    </row>
    <row r="62" spans="1:12">
      <c r="A62" s="11">
        <v>77</v>
      </c>
      <c r="B62" s="9">
        <v>9.1434131983776066</v>
      </c>
      <c r="C62" s="9">
        <v>7.8343288934593689</v>
      </c>
      <c r="D62" s="9">
        <v>7.3758848872175093</v>
      </c>
      <c r="F62" s="12">
        <v>77</v>
      </c>
      <c r="G62" s="9">
        <v>7.5749133610034729</v>
      </c>
      <c r="H62" s="9">
        <v>6.9595595686495697</v>
      </c>
      <c r="I62" s="9">
        <v>7.1104789901460173</v>
      </c>
      <c r="K62" s="17">
        <f t="shared" si="0"/>
        <v>77</v>
      </c>
      <c r="L62" s="13">
        <f t="shared" si="1"/>
        <v>7.2431819386817633</v>
      </c>
    </row>
    <row r="63" spans="1:12">
      <c r="A63" s="11">
        <v>78</v>
      </c>
      <c r="B63" s="9">
        <v>9.454447371556709</v>
      </c>
      <c r="C63" s="9">
        <v>7.9894223214352529</v>
      </c>
      <c r="D63" s="9">
        <v>7.591429239969</v>
      </c>
      <c r="F63" s="12">
        <v>78</v>
      </c>
      <c r="G63" s="9">
        <v>7.8086458898680835</v>
      </c>
      <c r="H63" s="9">
        <v>7.1121313620411408</v>
      </c>
      <c r="I63" s="9">
        <v>7.3248349387042184</v>
      </c>
      <c r="K63" s="17">
        <f t="shared" si="0"/>
        <v>78</v>
      </c>
      <c r="L63" s="13">
        <f t="shared" si="1"/>
        <v>7.4581320893366092</v>
      </c>
    </row>
    <row r="64" spans="1:12">
      <c r="A64" s="11">
        <v>79</v>
      </c>
      <c r="B64" s="9">
        <v>9.8057214405397701</v>
      </c>
      <c r="C64" s="9">
        <v>8.1484302663661765</v>
      </c>
      <c r="D64" s="9">
        <v>7.8284893723579509</v>
      </c>
      <c r="F64" s="12">
        <v>79</v>
      </c>
      <c r="G64" s="9">
        <v>8.0582163498131347</v>
      </c>
      <c r="H64" s="9">
        <v>7.2693644778264863</v>
      </c>
      <c r="I64" s="9">
        <v>7.5540964517979381</v>
      </c>
      <c r="K64" s="17">
        <f t="shared" si="0"/>
        <v>79</v>
      </c>
      <c r="L64" s="13">
        <f t="shared" si="1"/>
        <v>7.6912929120779445</v>
      </c>
    </row>
    <row r="65" spans="1:12">
      <c r="A65" s="11">
        <v>80</v>
      </c>
      <c r="B65" s="9">
        <v>10.181221719093356</v>
      </c>
      <c r="C65" s="9">
        <v>8.3069442345092313</v>
      </c>
      <c r="D65" s="9">
        <v>8.0814503056140037</v>
      </c>
      <c r="F65" s="12">
        <v>80</v>
      </c>
      <c r="G65" s="9">
        <v>8.3251191642844855</v>
      </c>
      <c r="H65" s="9">
        <v>7.4311461890362489</v>
      </c>
      <c r="I65" s="9">
        <v>7.79969825398571</v>
      </c>
      <c r="K65" s="17">
        <f t="shared" si="0"/>
        <v>80</v>
      </c>
      <c r="L65" s="13">
        <f t="shared" si="1"/>
        <v>7.9405742797998569</v>
      </c>
    </row>
    <row r="66" spans="1:12">
      <c r="A66" s="11"/>
      <c r="B66" s="9"/>
      <c r="C66" s="9"/>
      <c r="D66" s="9"/>
    </row>
    <row r="67" spans="1:12">
      <c r="A67" s="11"/>
      <c r="B67" s="9"/>
      <c r="C67" s="9"/>
      <c r="D67" s="9"/>
    </row>
  </sheetData>
  <mergeCells count="20">
    <mergeCell ref="B12:D12"/>
    <mergeCell ref="G12:I12"/>
    <mergeCell ref="A8:D8"/>
    <mergeCell ref="F8:I8"/>
    <mergeCell ref="A9:D9"/>
    <mergeCell ref="F9:I9"/>
    <mergeCell ref="A10:D10"/>
    <mergeCell ref="F10:I10"/>
    <mergeCell ref="A7:D7"/>
    <mergeCell ref="F7:I7"/>
    <mergeCell ref="A4:D4"/>
    <mergeCell ref="F4:I4"/>
    <mergeCell ref="A5:D5"/>
    <mergeCell ref="F5:I5"/>
    <mergeCell ref="A2:D2"/>
    <mergeCell ref="F2:I2"/>
    <mergeCell ref="A3:D3"/>
    <mergeCell ref="F3:I3"/>
    <mergeCell ref="A6:D6"/>
    <mergeCell ref="F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DAMASO</vt:lpstr>
      <vt:lpstr>salidaformulas</vt:lpstr>
      <vt:lpstr>calculo 20</vt:lpstr>
      <vt:lpstr>calculo 25</vt:lpstr>
      <vt:lpstr>calculo 30</vt:lpstr>
      <vt:lpstr>CALCULO 35</vt:lpstr>
      <vt:lpstr>CALCULO 40</vt:lpstr>
      <vt:lpstr>descuento</vt:lpstr>
      <vt:lpstr>bases renta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Mon</dc:creator>
  <cp:lastModifiedBy>Garcia Mitre, Deysi Yariela</cp:lastModifiedBy>
  <cp:lastPrinted>2024-11-08T21:50:55Z</cp:lastPrinted>
  <dcterms:created xsi:type="dcterms:W3CDTF">2024-09-30T11:57:58Z</dcterms:created>
  <dcterms:modified xsi:type="dcterms:W3CDTF">2025-03-25T14:12:59Z</dcterms:modified>
</cp:coreProperties>
</file>